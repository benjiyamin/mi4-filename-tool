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benzo/Library/Mobile Documents/com~apple~CloudDocs/"/>
    </mc:Choice>
  </mc:AlternateContent>
  <xr:revisionPtr revIDLastSave="0" documentId="13_ncr:1_{93901A46-C481-B340-B768-5573C7930C79}" xr6:coauthVersionLast="47" xr6:coauthVersionMax="47" xr10:uidLastSave="{00000000-0000-0000-0000-000000000000}"/>
  <bookViews>
    <workbookView xWindow="0" yWindow="600" windowWidth="68800" windowHeight="28200" activeTab="3" xr2:uid="{00000000-000D-0000-FFFF-FFFF00000000}"/>
  </bookViews>
  <sheets>
    <sheet name="Examples" sheetId="7" r:id="rId1"/>
    <sheet name="Conventions" sheetId="6" r:id="rId2"/>
    <sheet name="Fields" sheetId="9" r:id="rId3"/>
    <sheet name="Rules" sheetId="10" r:id="rId4"/>
    <sheet name="Abbr" sheetId="3" r:id="rId5"/>
    <sheet name="Options" sheetId="1" r:id="rId6"/>
    <sheet name="Suggestion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6" l="1" a="1"/>
  <c r="F10" i="6" s="1"/>
  <c r="G10" i="6" a="1"/>
  <c r="G10" i="6" s="1"/>
  <c r="H10" i="6" a="1"/>
  <c r="H10" i="6" s="1"/>
  <c r="H2" i="6" a="1"/>
  <c r="H2" i="6" s="1"/>
  <c r="H3" i="6" a="1"/>
  <c r="H3" i="6" s="1"/>
  <c r="H4" i="6" a="1"/>
  <c r="H4" i="6" s="1"/>
  <c r="H5" i="6" a="1"/>
  <c r="H5" i="6" s="1"/>
  <c r="H6" i="6" a="1"/>
  <c r="H6" i="6" s="1"/>
  <c r="H7" i="6" a="1"/>
  <c r="H7" i="6" s="1"/>
  <c r="H8" i="6" a="1"/>
  <c r="H8" i="6" s="1"/>
  <c r="H9" i="6" a="1"/>
  <c r="H9" i="6" s="1"/>
  <c r="G2" i="6" a="1"/>
  <c r="G2" i="6" s="1"/>
  <c r="G3" i="6" a="1"/>
  <c r="G3" i="6" s="1"/>
  <c r="G4" i="6" a="1"/>
  <c r="G4" i="6" s="1"/>
  <c r="G5" i="6" a="1"/>
  <c r="G5" i="6" s="1"/>
  <c r="R75" i="7" s="1"/>
  <c r="G6" i="6" a="1"/>
  <c r="G6" i="6" s="1"/>
  <c r="G7" i="6" a="1"/>
  <c r="G7" i="6" s="1"/>
  <c r="G8" i="6" a="1"/>
  <c r="G8" i="6" s="1"/>
  <c r="G9" i="6" a="1"/>
  <c r="G9" i="6" s="1"/>
  <c r="F2" i="6" a="1"/>
  <c r="F2" i="6" s="1"/>
  <c r="F3" i="6" a="1"/>
  <c r="F3" i="6" s="1"/>
  <c r="F4" i="6" a="1"/>
  <c r="F4" i="6" s="1"/>
  <c r="F5" i="6" a="1"/>
  <c r="F5" i="6" s="1"/>
  <c r="F6" i="6" a="1"/>
  <c r="F6" i="6" s="1"/>
  <c r="F7" i="6" a="1"/>
  <c r="F7" i="6" s="1"/>
  <c r="F8" i="6" a="1"/>
  <c r="F8" i="6" s="1"/>
  <c r="F9" i="6" a="1"/>
  <c r="F9" i="6" s="1"/>
  <c r="N2" i="7"/>
  <c r="I10" i="6" l="1" a="1"/>
  <c r="I10" i="6" s="1"/>
  <c r="I3" i="6" a="1"/>
  <c r="I3" i="6" s="1"/>
  <c r="I8" i="6" a="1"/>
  <c r="I8" i="6" s="1"/>
  <c r="I6" i="6" a="1"/>
  <c r="I6" i="6" s="1"/>
  <c r="I5" i="6" a="1"/>
  <c r="I5" i="6" s="1"/>
  <c r="I2" i="6" a="1"/>
  <c r="I2" i="6" s="1"/>
  <c r="I9" i="6" a="1"/>
  <c r="I9" i="6" s="1"/>
  <c r="I7" i="6" a="1"/>
  <c r="I7" i="6" s="1"/>
  <c r="I4" i="6" a="1"/>
  <c r="I4" i="6" s="1"/>
  <c r="Q65" i="7"/>
  <c r="Q12" i="7"/>
  <c r="Q3" i="7"/>
  <c r="Q32" i="7"/>
  <c r="Q2" i="7"/>
  <c r="R66" i="7"/>
  <c r="R21" i="7"/>
  <c r="R11" i="7"/>
  <c r="R2" i="7"/>
  <c r="Q75" i="7"/>
  <c r="R71" i="7"/>
  <c r="R74" i="7"/>
  <c r="R65" i="7"/>
  <c r="R32" i="7"/>
  <c r="R25" i="7"/>
  <c r="R68" i="7"/>
  <c r="R64" i="7"/>
  <c r="R70" i="7"/>
  <c r="R60" i="7"/>
  <c r="R50" i="7"/>
  <c r="R40" i="7"/>
  <c r="R30" i="7"/>
  <c r="R20" i="7"/>
  <c r="R10" i="7"/>
  <c r="R45" i="7"/>
  <c r="R61" i="7"/>
  <c r="R69" i="7"/>
  <c r="R59" i="7"/>
  <c r="R49" i="7"/>
  <c r="R39" i="7"/>
  <c r="R29" i="7"/>
  <c r="R19" i="7"/>
  <c r="R9" i="7"/>
  <c r="R48" i="7"/>
  <c r="R38" i="7"/>
  <c r="R28" i="7"/>
  <c r="R18" i="7"/>
  <c r="R8" i="7"/>
  <c r="R55" i="7"/>
  <c r="R78" i="7"/>
  <c r="R58" i="7"/>
  <c r="R77" i="7"/>
  <c r="R67" i="7"/>
  <c r="R57" i="7"/>
  <c r="R47" i="7"/>
  <c r="R37" i="7"/>
  <c r="R27" i="7"/>
  <c r="R17" i="7"/>
  <c r="R7" i="7"/>
  <c r="R76" i="7"/>
  <c r="R56" i="7"/>
  <c r="R46" i="7"/>
  <c r="R36" i="7"/>
  <c r="R26" i="7"/>
  <c r="R16" i="7"/>
  <c r="R6" i="7"/>
  <c r="R15" i="7"/>
  <c r="R5" i="7"/>
  <c r="R54" i="7"/>
  <c r="R44" i="7"/>
  <c r="R34" i="7"/>
  <c r="R24" i="7"/>
  <c r="R14" i="7"/>
  <c r="R4" i="7"/>
  <c r="R73" i="7"/>
  <c r="R63" i="7"/>
  <c r="R53" i="7"/>
  <c r="R43" i="7"/>
  <c r="R33" i="7"/>
  <c r="R23" i="7"/>
  <c r="R13" i="7"/>
  <c r="R3" i="7"/>
  <c r="R22" i="7"/>
  <c r="R12" i="7"/>
  <c r="R35" i="7"/>
  <c r="R72" i="7"/>
  <c r="R62" i="7"/>
  <c r="R52" i="7"/>
  <c r="R42" i="7"/>
  <c r="R51" i="7"/>
  <c r="R41" i="7"/>
  <c r="R31" i="7"/>
  <c r="Q76" i="7"/>
  <c r="Q40" i="7"/>
  <c r="Q39" i="7"/>
  <c r="Q59" i="7"/>
  <c r="Q38" i="7"/>
  <c r="Q78" i="7"/>
  <c r="Q77" i="7"/>
  <c r="Q29" i="7"/>
  <c r="Q26" i="7"/>
  <c r="Q48" i="7"/>
  <c r="Q43" i="7"/>
  <c r="Q58" i="7"/>
  <c r="Q20" i="7"/>
  <c r="Q57" i="7"/>
  <c r="Q19" i="7"/>
  <c r="Q56" i="7"/>
  <c r="Q18" i="7"/>
  <c r="Q66" i="7"/>
  <c r="Q63" i="7"/>
  <c r="Q47" i="7"/>
  <c r="Q28" i="7"/>
  <c r="Q60" i="7"/>
  <c r="Q46" i="7"/>
  <c r="Q27" i="7"/>
  <c r="Q69" i="7"/>
  <c r="Q53" i="7"/>
  <c r="Q17" i="7"/>
  <c r="Q68" i="7"/>
  <c r="Q50" i="7"/>
  <c r="Q36" i="7"/>
  <c r="Q16" i="7"/>
  <c r="Q37" i="7"/>
  <c r="Q67" i="7"/>
  <c r="Q49" i="7"/>
  <c r="Q30" i="7"/>
  <c r="Q9" i="7"/>
  <c r="Q8" i="7"/>
  <c r="Q71" i="7"/>
  <c r="Q61" i="7"/>
  <c r="Q51" i="7"/>
  <c r="Q41" i="7"/>
  <c r="Q31" i="7"/>
  <c r="Q21" i="7"/>
  <c r="Q11" i="7"/>
  <c r="Q10" i="7"/>
  <c r="Q70" i="7"/>
  <c r="Q7" i="7"/>
  <c r="Q55" i="7"/>
  <c r="Q45" i="7"/>
  <c r="Q35" i="7"/>
  <c r="Q25" i="7"/>
  <c r="Q15" i="7"/>
  <c r="Q5" i="7"/>
  <c r="Q6" i="7"/>
  <c r="Q74" i="7"/>
  <c r="Q64" i="7"/>
  <c r="Q54" i="7"/>
  <c r="Q44" i="7"/>
  <c r="Q34" i="7"/>
  <c r="Q24" i="7"/>
  <c r="Q14" i="7"/>
  <c r="Q4" i="7"/>
  <c r="Q33" i="7"/>
  <c r="Q23" i="7"/>
  <c r="Q13" i="7"/>
  <c r="Q73" i="7"/>
  <c r="Q72" i="7"/>
  <c r="Q62" i="7"/>
  <c r="Q52" i="7"/>
  <c r="Q42" i="7"/>
  <c r="Q22" i="7"/>
  <c r="O14" i="7" a="1"/>
  <c r="O13" i="7" a="1"/>
  <c r="O46" i="7" a="1"/>
  <c r="O57" i="7" a="1"/>
  <c r="O22" i="7" a="1"/>
  <c r="O78" i="7" a="1"/>
  <c r="O51" i="7" a="1"/>
  <c r="O76" i="7" a="1"/>
  <c r="O33" i="7" a="1"/>
  <c r="O12" i="7" a="1"/>
  <c r="O11" i="7" a="1"/>
  <c r="O26" i="7" a="1"/>
  <c r="O58" i="7" a="1"/>
  <c r="O9" i="7" a="1"/>
  <c r="O35" i="7" a="1"/>
  <c r="O6" i="7" a="1"/>
  <c r="O63" i="7" a="1"/>
  <c r="O37" i="7" a="1"/>
  <c r="O64" i="7" a="1"/>
  <c r="O24" i="7" a="1"/>
  <c r="O28" i="7" a="1"/>
  <c r="O56" i="7" a="1"/>
  <c r="O4" i="7" a="1"/>
  <c r="O23" i="7" a="1"/>
  <c r="O8" i="7" a="1"/>
  <c r="O59" i="7" a="1"/>
  <c r="O50" i="7" a="1"/>
  <c r="O15" i="7" a="1"/>
  <c r="O18" i="7" a="1"/>
  <c r="O53" i="7" a="1"/>
  <c r="O16" i="7" a="1"/>
  <c r="O70" i="7" a="1"/>
  <c r="O20" i="7" a="1"/>
  <c r="O38" i="7" a="1"/>
  <c r="O77" i="7" a="1"/>
  <c r="O21" i="7" a="1"/>
  <c r="O69" i="7" a="1"/>
  <c r="O67" i="7" a="1"/>
  <c r="O66" i="7" a="1"/>
  <c r="O61" i="7" a="1"/>
  <c r="O39" i="7" a="1"/>
  <c r="O7" i="7" a="1"/>
  <c r="O73" i="7" a="1"/>
  <c r="O41" i="7" a="1"/>
  <c r="O55" i="7" a="1"/>
  <c r="O45" i="7" a="1"/>
  <c r="O17" i="7" a="1"/>
  <c r="O25" i="7" a="1"/>
  <c r="O3" i="7" a="1"/>
  <c r="O10" i="7" a="1"/>
  <c r="O32" i="7" a="1"/>
  <c r="O2" i="7" a="1"/>
  <c r="O34" i="7" a="1"/>
  <c r="O5" i="7" a="1"/>
  <c r="O65" i="7" a="1"/>
  <c r="O54" i="7" a="1"/>
  <c r="O60" i="7" a="1"/>
  <c r="O72" i="7" a="1"/>
  <c r="O52" i="7" a="1"/>
  <c r="O19" i="7" a="1"/>
  <c r="O48" i="7" a="1"/>
  <c r="O29" i="7" a="1"/>
  <c r="O31" i="7" a="1"/>
  <c r="O42" i="7" a="1"/>
  <c r="O30" i="7" a="1"/>
  <c r="O47" i="7" a="1"/>
  <c r="O68" i="7" a="1"/>
  <c r="O75" i="7" a="1"/>
  <c r="O71" i="7" a="1"/>
  <c r="O27" i="7" a="1"/>
  <c r="O36" i="7" a="1"/>
  <c r="O44" i="7" a="1"/>
  <c r="O62" i="7" a="1"/>
  <c r="O49" i="7" a="1"/>
  <c r="O43" i="7" a="1"/>
  <c r="O74" i="7" a="1"/>
  <c r="O40" i="7" a="1"/>
  <c r="O2" i="7" l="1"/>
  <c r="O32" i="7"/>
  <c r="O10" i="7"/>
  <c r="O69" i="7"/>
  <c r="O38" i="7"/>
  <c r="O23" i="7"/>
  <c r="O6" i="7"/>
  <c r="O11" i="7"/>
  <c r="O49" i="7"/>
  <c r="O27" i="7"/>
  <c r="O57" i="7"/>
  <c r="O59" i="7"/>
  <c r="O3" i="7"/>
  <c r="O21" i="7"/>
  <c r="O20" i="7"/>
  <c r="O4" i="7"/>
  <c r="O40" i="7"/>
  <c r="O12" i="7"/>
  <c r="O62" i="7"/>
  <c r="O71" i="7"/>
  <c r="O66" i="7"/>
  <c r="O72" i="7"/>
  <c r="O8" i="7"/>
  <c r="O77" i="7"/>
  <c r="O70" i="7"/>
  <c r="O56" i="7"/>
  <c r="O74" i="7"/>
  <c r="O33" i="7"/>
  <c r="O46" i="7"/>
  <c r="O75" i="7"/>
  <c r="O31" i="7"/>
  <c r="O60" i="7"/>
  <c r="O25" i="7"/>
  <c r="O41" i="7"/>
  <c r="O16" i="7"/>
  <c r="O28" i="7"/>
  <c r="O43" i="7"/>
  <c r="O76" i="7"/>
  <c r="O44" i="7"/>
  <c r="O68" i="7"/>
  <c r="O29" i="7"/>
  <c r="O54" i="7"/>
  <c r="O17" i="7"/>
  <c r="O73" i="7"/>
  <c r="O53" i="7"/>
  <c r="O24" i="7"/>
  <c r="O35" i="7"/>
  <c r="O51" i="7"/>
  <c r="O36" i="7"/>
  <c r="O47" i="7"/>
  <c r="O48" i="7"/>
  <c r="O65" i="7"/>
  <c r="O55" i="7"/>
  <c r="O7" i="7"/>
  <c r="O18" i="7"/>
  <c r="O64" i="7"/>
  <c r="O9" i="7"/>
  <c r="O78" i="7"/>
  <c r="O13" i="7"/>
  <c r="O30" i="7"/>
  <c r="O19" i="7"/>
  <c r="O5" i="7"/>
  <c r="O67" i="7"/>
  <c r="O39" i="7"/>
  <c r="O15" i="7"/>
  <c r="O37" i="7"/>
  <c r="O58" i="7"/>
  <c r="O22" i="7"/>
  <c r="O14" i="7"/>
  <c r="O42" i="7"/>
  <c r="O52" i="7"/>
  <c r="O34" i="7"/>
  <c r="O45" i="7"/>
  <c r="O61" i="7"/>
  <c r="O50" i="7"/>
  <c r="O63" i="7"/>
  <c r="O26" i="7"/>
  <c r="P59" i="7" a="1"/>
  <c r="P57" i="7" a="1"/>
  <c r="P77" i="7" a="1"/>
  <c r="P69" i="7" a="1"/>
  <c r="P34" i="7" a="1"/>
  <c r="P62" i="7" a="1"/>
  <c r="P19" i="7" a="1"/>
  <c r="P32" i="7" a="1"/>
  <c r="P11" i="7" a="1"/>
  <c r="P41" i="7" a="1"/>
  <c r="P15" i="7" a="1"/>
  <c r="P60" i="7" a="1"/>
  <c r="P35" i="7" a="1"/>
  <c r="P48" i="7" a="1"/>
  <c r="P50" i="7" a="1"/>
  <c r="P51" i="7" a="1"/>
  <c r="P67" i="7" a="1"/>
  <c r="P71" i="7" a="1"/>
  <c r="P72" i="7" a="1"/>
  <c r="P18" i="7" a="1"/>
  <c r="P16" i="7" a="1"/>
  <c r="P31" i="7" a="1"/>
  <c r="P29" i="7" a="1"/>
  <c r="P37" i="7" a="1"/>
  <c r="P7" i="7" a="1"/>
  <c r="P53" i="7" a="1"/>
  <c r="P38" i="7" a="1"/>
  <c r="P39" i="7" a="1"/>
  <c r="P45" i="7" a="1"/>
  <c r="P63" i="7" a="1"/>
  <c r="P64" i="7" a="1"/>
  <c r="P17" i="7" a="1"/>
  <c r="P66" i="7" a="1"/>
  <c r="P73" i="7" a="1"/>
  <c r="P47" i="7" a="1"/>
  <c r="P36" i="7" a="1"/>
  <c r="P28" i="7" a="1"/>
  <c r="P5" i="7" a="1"/>
  <c r="P6" i="7" a="1"/>
  <c r="P14" i="7" a="1"/>
  <c r="P27" i="7" a="1"/>
  <c r="P43" i="7" a="1"/>
  <c r="P42" i="7" a="1"/>
  <c r="P46" i="7" a="1"/>
  <c r="P49" i="7" a="1"/>
  <c r="P13" i="7" a="1"/>
  <c r="P33" i="7" a="1"/>
  <c r="P30" i="7" a="1"/>
  <c r="P2" i="7" a="1"/>
  <c r="P68" i="7" a="1"/>
  <c r="P8" i="7" a="1"/>
  <c r="P44" i="7" a="1"/>
  <c r="P25" i="7" a="1"/>
  <c r="P40" i="7" a="1"/>
  <c r="P23" i="7" a="1"/>
  <c r="P58" i="7" a="1"/>
  <c r="P26" i="7" a="1"/>
  <c r="P65" i="7" a="1"/>
  <c r="P74" i="7" a="1"/>
  <c r="P52" i="7" a="1"/>
  <c r="P54" i="7" a="1"/>
  <c r="P24" i="7" a="1"/>
  <c r="P3" i="7" a="1"/>
  <c r="P10" i="7" a="1"/>
  <c r="P21" i="7" a="1"/>
  <c r="P56" i="7" a="1"/>
  <c r="P55" i="7" a="1"/>
  <c r="P61" i="7" a="1"/>
  <c r="P76" i="7" a="1"/>
  <c r="P20" i="7" a="1"/>
  <c r="P78" i="7" a="1"/>
  <c r="P70" i="7" a="1"/>
  <c r="P4" i="7" a="1"/>
  <c r="P9" i="7" a="1"/>
  <c r="P12" i="7" a="1"/>
  <c r="P22" i="7" a="1"/>
  <c r="P75" i="7" a="1"/>
  <c r="P32" i="7" l="1"/>
  <c r="P12" i="7"/>
  <c r="S12" i="7" s="1"/>
  <c r="P3" i="7"/>
  <c r="P65" i="7"/>
  <c r="S65" i="7" s="1"/>
  <c r="P2" i="7"/>
  <c r="P8" i="7"/>
  <c r="P70" i="7"/>
  <c r="P6" i="7"/>
  <c r="P73" i="7"/>
  <c r="P7" i="7"/>
  <c r="P71" i="7"/>
  <c r="P11" i="7"/>
  <c r="P75" i="7"/>
  <c r="P10" i="7"/>
  <c r="P74" i="7"/>
  <c r="P68" i="7"/>
  <c r="P4" i="7"/>
  <c r="P5" i="7"/>
  <c r="P66" i="7"/>
  <c r="P9" i="7"/>
  <c r="P67" i="7"/>
  <c r="S67" i="7" s="1"/>
  <c r="P64" i="7"/>
  <c r="S64" i="7" s="1"/>
  <c r="P16" i="7"/>
  <c r="S16" i="7" s="1"/>
  <c r="P62" i="7"/>
  <c r="S62" i="7" s="1"/>
  <c r="P77" i="7"/>
  <c r="S77" i="7" s="1"/>
  <c r="P26" i="7"/>
  <c r="S26" i="7" s="1"/>
  <c r="P30" i="7"/>
  <c r="S30" i="7" s="1"/>
  <c r="P58" i="7"/>
  <c r="S58" i="7" s="1"/>
  <c r="P33" i="7"/>
  <c r="S33" i="7" s="1"/>
  <c r="P29" i="7"/>
  <c r="S29" i="7" s="1"/>
  <c r="P17" i="7"/>
  <c r="S17" i="7" s="1"/>
  <c r="P63" i="7"/>
  <c r="S63" i="7" s="1"/>
  <c r="P50" i="7"/>
  <c r="S50" i="7" s="1"/>
  <c r="P60" i="7"/>
  <c r="S60" i="7" s="1"/>
  <c r="P57" i="7"/>
  <c r="S57" i="7" s="1"/>
  <c r="P76" i="7"/>
  <c r="S76" i="7" s="1"/>
  <c r="P37" i="7"/>
  <c r="S37" i="7" s="1"/>
  <c r="P23" i="7"/>
  <c r="S23" i="7" s="1"/>
  <c r="P13" i="7"/>
  <c r="S13" i="7" s="1"/>
  <c r="P31" i="7"/>
  <c r="S31" i="7" s="1"/>
  <c r="P19" i="7"/>
  <c r="S19" i="7" s="1"/>
  <c r="P45" i="7"/>
  <c r="S45" i="7" s="1"/>
  <c r="P18" i="7"/>
  <c r="S18" i="7" s="1"/>
  <c r="P34" i="7"/>
  <c r="S34" i="7" s="1"/>
  <c r="P59" i="7"/>
  <c r="S59" i="7" s="1"/>
  <c r="P61" i="7"/>
  <c r="S61" i="7" s="1"/>
  <c r="P28" i="7"/>
  <c r="S28" i="7" s="1"/>
  <c r="P40" i="7"/>
  <c r="S40" i="7" s="1"/>
  <c r="P49" i="7"/>
  <c r="S49" i="7" s="1"/>
  <c r="P43" i="7"/>
  <c r="S43" i="7" s="1"/>
  <c r="P51" i="7"/>
  <c r="S51" i="7" s="1"/>
  <c r="P39" i="7"/>
  <c r="S39" i="7" s="1"/>
  <c r="P48" i="7"/>
  <c r="S48" i="7" s="1"/>
  <c r="P15" i="7"/>
  <c r="S15" i="7" s="1"/>
  <c r="P78" i="7"/>
  <c r="S78" i="7" s="1"/>
  <c r="P55" i="7"/>
  <c r="P24" i="7"/>
  <c r="S24" i="7" s="1"/>
  <c r="P25" i="7"/>
  <c r="S25" i="7" s="1"/>
  <c r="P46" i="7"/>
  <c r="S46" i="7" s="1"/>
  <c r="P27" i="7"/>
  <c r="S27" i="7" s="1"/>
  <c r="P36" i="7"/>
  <c r="S36" i="7" s="1"/>
  <c r="P38" i="7"/>
  <c r="S38" i="7" s="1"/>
  <c r="P35" i="7"/>
  <c r="S35" i="7" s="1"/>
  <c r="P41" i="7"/>
  <c r="S41" i="7" s="1"/>
  <c r="P20" i="7"/>
  <c r="S20" i="7" s="1"/>
  <c r="P56" i="7"/>
  <c r="S56" i="7" s="1"/>
  <c r="P54" i="7"/>
  <c r="S54" i="7" s="1"/>
  <c r="P44" i="7"/>
  <c r="S44" i="7" s="1"/>
  <c r="P42" i="7"/>
  <c r="S42" i="7" s="1"/>
  <c r="P14" i="7"/>
  <c r="S14" i="7" s="1"/>
  <c r="P47" i="7"/>
  <c r="S47" i="7" s="1"/>
  <c r="P53" i="7"/>
  <c r="S53" i="7" s="1"/>
  <c r="P72" i="7"/>
  <c r="S72" i="7" s="1"/>
  <c r="P69" i="7"/>
  <c r="S69" i="7" s="1"/>
  <c r="P22" i="7"/>
  <c r="S22" i="7" s="1"/>
  <c r="P21" i="7"/>
  <c r="S21" i="7" s="1"/>
  <c r="P52" i="7"/>
  <c r="S52" i="7" s="1"/>
  <c r="S55" i="7"/>
  <c r="S66" i="7"/>
  <c r="S68" i="7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S11" i="7" l="1"/>
  <c r="S9" i="7"/>
  <c r="S8" i="7"/>
  <c r="S6" i="7"/>
  <c r="S7" i="7"/>
  <c r="S5" i="7"/>
  <c r="S10" i="7"/>
  <c r="S4" i="7"/>
  <c r="S3" i="7"/>
  <c r="S2" i="7"/>
  <c r="S71" i="7" l="1"/>
  <c r="S74" i="7"/>
  <c r="S73" i="7"/>
  <c r="S70" i="7"/>
  <c r="S75" i="7"/>
  <c r="S32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<sst xmlns="http://schemas.openxmlformats.org/spreadsheetml/2006/main" count="946" uniqueCount="504">
  <si>
    <t>Name</t>
  </si>
  <si>
    <t>Advertisement</t>
  </si>
  <si>
    <t>Division II and III Specs</t>
  </si>
  <si>
    <t>NEPA Documents</t>
  </si>
  <si>
    <t>FTE Shop Drawing Process</t>
  </si>
  <si>
    <t>WWVDS Requirements</t>
  </si>
  <si>
    <t>Warning Gate System Requirements</t>
  </si>
  <si>
    <t>Survey Data</t>
  </si>
  <si>
    <t>Minimum Roadway Base Elevation</t>
  </si>
  <si>
    <t>Historical Utility Info</t>
  </si>
  <si>
    <t>Historical As-Built Plans</t>
  </si>
  <si>
    <t>Historical PD&amp;E Info</t>
  </si>
  <si>
    <t>Description</t>
  </si>
  <si>
    <t>Conceptual Signing Plan</t>
  </si>
  <si>
    <t>Utility Coordination</t>
  </si>
  <si>
    <t>CCI Requirements</t>
  </si>
  <si>
    <t>Report</t>
  </si>
  <si>
    <t>Package</t>
  </si>
  <si>
    <t>Requirements</t>
  </si>
  <si>
    <t>FPID</t>
  </si>
  <si>
    <t>Project</t>
  </si>
  <si>
    <t>Project 1</t>
  </si>
  <si>
    <t>Project 2</t>
  </si>
  <si>
    <t>Project 3</t>
  </si>
  <si>
    <t>Project 4</t>
  </si>
  <si>
    <t>Project 5</t>
  </si>
  <si>
    <t>P1</t>
  </si>
  <si>
    <t>P2</t>
  </si>
  <si>
    <t>P3</t>
  </si>
  <si>
    <t>P4</t>
  </si>
  <si>
    <t>P5</t>
  </si>
  <si>
    <t>PA</t>
  </si>
  <si>
    <t>PB</t>
  </si>
  <si>
    <t>Accel Start Seg A</t>
  </si>
  <si>
    <t>Accel Start Seg B</t>
  </si>
  <si>
    <t>201210-8</t>
  </si>
  <si>
    <t>I-4 (S.R. 400) from east of U.S. 27 to west of S.R. 429</t>
  </si>
  <si>
    <t>431456-6</t>
  </si>
  <si>
    <t>I-4 (S.R. 400) from west of S.R. 429 to east of World Drive</t>
  </si>
  <si>
    <t>431456-7</t>
  </si>
  <si>
    <t>I-4 (S.R. 400) from east of World Drive to east of U.S. 192</t>
  </si>
  <si>
    <t>445883-1</t>
  </si>
  <si>
    <t>Southern Connector (SR 417) AET (M&amp;R)</t>
  </si>
  <si>
    <t>445883-2</t>
  </si>
  <si>
    <t>Southern Connector (SR 417) AET (Reconstruction)</t>
  </si>
  <si>
    <t>431456-3</t>
  </si>
  <si>
    <t>I-4 (S.R. 400) from east of C.R. 532 to west of World Drive</t>
  </si>
  <si>
    <t>446581-6</t>
  </si>
  <si>
    <t>Poinciana Connector, Greenfield - Ramps to Eastbound I-4</t>
  </si>
  <si>
    <t>446581-3</t>
  </si>
  <si>
    <t>Poinciana Connector, Modify/Construct I-4 Ramps with SR 429</t>
  </si>
  <si>
    <t>201210-9</t>
  </si>
  <si>
    <t>I-4 (S.R. 400) from west of U.S. 27 to west of C.R. 532</t>
  </si>
  <si>
    <t>451381-2</t>
  </si>
  <si>
    <t>Grandview Parkway from north of Posner Boulevard to Dunson Road</t>
  </si>
  <si>
    <t>431456-2</t>
  </si>
  <si>
    <t>I-4 (S.R. 400) from east of U.S. 192 to east of S.R. 536</t>
  </si>
  <si>
    <t>453159-3</t>
  </si>
  <si>
    <t>I-4 (S.R. 400) Eastbound Tube from west of S.R. 536 to west of Universal Boulevard</t>
  </si>
  <si>
    <t>446581-4</t>
  </si>
  <si>
    <t>Poinciana Connector (S.R. 538)</t>
  </si>
  <si>
    <t>Reqs</t>
  </si>
  <si>
    <t>Pkg</t>
  </si>
  <si>
    <t>Rpt</t>
  </si>
  <si>
    <t>Drainage</t>
  </si>
  <si>
    <t>Roadway</t>
  </si>
  <si>
    <t>Minimum</t>
  </si>
  <si>
    <t>Maximum</t>
  </si>
  <si>
    <t>Max</t>
  </si>
  <si>
    <t>Min</t>
  </si>
  <si>
    <t>Rdwy</t>
  </si>
  <si>
    <t>Drng</t>
  </si>
  <si>
    <t>Memorandum</t>
  </si>
  <si>
    <t>Memo</t>
  </si>
  <si>
    <t>Drawing</t>
  </si>
  <si>
    <t>Dwg</t>
  </si>
  <si>
    <t>Original</t>
  </si>
  <si>
    <t>Orig</t>
  </si>
  <si>
    <t>Full FPID</t>
  </si>
  <si>
    <t>CADD</t>
  </si>
  <si>
    <t>Key</t>
  </si>
  <si>
    <t>Value</t>
  </si>
  <si>
    <t>Convention</t>
  </si>
  <si>
    <t>Extension(s)</t>
  </si>
  <si>
    <t>Prelim Engineering</t>
  </si>
  <si>
    <t>AIC Phase</t>
  </si>
  <si>
    <t>Design</t>
  </si>
  <si>
    <t>Planning Phase</t>
  </si>
  <si>
    <t>PS</t>
  </si>
  <si>
    <t>FS</t>
  </si>
  <si>
    <t>PD</t>
  </si>
  <si>
    <t>SD</t>
  </si>
  <si>
    <t>CS</t>
  </si>
  <si>
    <t>CR</t>
  </si>
  <si>
    <t>FCR</t>
  </si>
  <si>
    <t>RFI</t>
  </si>
  <si>
    <t>RFM</t>
  </si>
  <si>
    <t>Design - Phase Submittal (90%)</t>
  </si>
  <si>
    <t>Design - Final Submittal (100%)</t>
  </si>
  <si>
    <t>Design - Project Documentation</t>
  </si>
  <si>
    <t>Design - Shop Drawing</t>
  </si>
  <si>
    <t>Design - Contract Submittal</t>
  </si>
  <si>
    <t>Design - Courtesy Review</t>
  </si>
  <si>
    <t>Design - Field Correction Request</t>
  </si>
  <si>
    <t>Design - Request for Information</t>
  </si>
  <si>
    <t>Design - Request for Modification</t>
  </si>
  <si>
    <t>Prelim Engineering - Phase 1</t>
  </si>
  <si>
    <t>Prelim Engineering - Phase 1A</t>
  </si>
  <si>
    <t>Prelim Engineering - Phase 2</t>
  </si>
  <si>
    <t>pdf</t>
  </si>
  <si>
    <t>Design Submittal</t>
  </si>
  <si>
    <t>Example Doc Name</t>
  </si>
  <si>
    <t>KMZ</t>
  </si>
  <si>
    <t>kmz</t>
  </si>
  <si>
    <t>Valid Name</t>
  </si>
  <si>
    <t>Required Fields</t>
  </si>
  <si>
    <t>Submittal ID</t>
  </si>
  <si>
    <t>Resubmittal ID</t>
  </si>
  <si>
    <t>00</t>
  </si>
  <si>
    <t>Project ID</t>
  </si>
  <si>
    <t>Weekly Update</t>
  </si>
  <si>
    <t>Right-of-Way</t>
  </si>
  <si>
    <t>ROW</t>
  </si>
  <si>
    <t>-</t>
  </si>
  <si>
    <t>Bridge Load Rating Report</t>
  </si>
  <si>
    <t>Hardscape-Aesthetic Requirements</t>
  </si>
  <si>
    <t>ITS Minimum Requirements</t>
  </si>
  <si>
    <t>Bridge Inspection Report</t>
  </si>
  <si>
    <t>Division I Specs</t>
  </si>
  <si>
    <t>Typical Section Package</t>
  </si>
  <si>
    <t>Title</t>
  </si>
  <si>
    <t>D1</t>
  </si>
  <si>
    <t>FTE</t>
  </si>
  <si>
    <t>Seg 1</t>
  </si>
  <si>
    <t>90% Pavement Design Report</t>
  </si>
  <si>
    <t>Segment 1</t>
  </si>
  <si>
    <t>Segment</t>
  </si>
  <si>
    <t>Seg</t>
  </si>
  <si>
    <t>Phase</t>
  </si>
  <si>
    <t>Ph</t>
  </si>
  <si>
    <t>Document</t>
  </si>
  <si>
    <t>Doc</t>
  </si>
  <si>
    <t>Requirement</t>
  </si>
  <si>
    <t>Req</t>
  </si>
  <si>
    <t>Documents</t>
  </si>
  <si>
    <t>Roadway Design Document</t>
  </si>
  <si>
    <t>Docs</t>
  </si>
  <si>
    <t>Erosion Control Plan</t>
  </si>
  <si>
    <t>Information</t>
  </si>
  <si>
    <t>Info</t>
  </si>
  <si>
    <t>Dsgn</t>
  </si>
  <si>
    <t>Environmental</t>
  </si>
  <si>
    <t>Env</t>
  </si>
  <si>
    <t>Utility</t>
  </si>
  <si>
    <t>Util</t>
  </si>
  <si>
    <t>Utils</t>
  </si>
  <si>
    <t>Geotechnical</t>
  </si>
  <si>
    <t>Geotech</t>
  </si>
  <si>
    <t>Express Lane Shoulder Width</t>
  </si>
  <si>
    <t>Design Variation Memorandum</t>
  </si>
  <si>
    <t>Border Width</t>
  </si>
  <si>
    <t>Curve Length</t>
  </si>
  <si>
    <t>Lane Cross Slope</t>
  </si>
  <si>
    <t>Survey</t>
  </si>
  <si>
    <t>Shoulder</t>
  </si>
  <si>
    <t>Shldr</t>
  </si>
  <si>
    <t>Utilities</t>
  </si>
  <si>
    <t>Alignment</t>
  </si>
  <si>
    <t>Algn</t>
  </si>
  <si>
    <t>Attachment</t>
  </si>
  <si>
    <t>Atch</t>
  </si>
  <si>
    <t>Calculation</t>
  </si>
  <si>
    <t>Calculations</t>
  </si>
  <si>
    <t>Calc</t>
  </si>
  <si>
    <t>Calcs</t>
  </si>
  <si>
    <t>Certificate</t>
  </si>
  <si>
    <t>Certification</t>
  </si>
  <si>
    <t>Cert</t>
  </si>
  <si>
    <t>Cross-Section</t>
  </si>
  <si>
    <t>Xsec</t>
  </si>
  <si>
    <t>Elevation</t>
  </si>
  <si>
    <t>Elev</t>
  </si>
  <si>
    <t>Evaluation</t>
  </si>
  <si>
    <t>Eval</t>
  </si>
  <si>
    <t>Existing</t>
  </si>
  <si>
    <t>Exist</t>
  </si>
  <si>
    <t>Lighting</t>
  </si>
  <si>
    <t>Ltg</t>
  </si>
  <si>
    <t>Inspection</t>
  </si>
  <si>
    <t>Insp</t>
  </si>
  <si>
    <t>Modification</t>
  </si>
  <si>
    <t>Mod</t>
  </si>
  <si>
    <t>Pavement</t>
  </si>
  <si>
    <t>Pvmt</t>
  </si>
  <si>
    <t>Preliminary</t>
  </si>
  <si>
    <t>Prelim</t>
  </si>
  <si>
    <t>Profile</t>
  </si>
  <si>
    <t>Prof</t>
  </si>
  <si>
    <t>Quantity</t>
  </si>
  <si>
    <t>Quantities</t>
  </si>
  <si>
    <t>Qty</t>
  </si>
  <si>
    <t>Qtys</t>
  </si>
  <si>
    <t>Revision</t>
  </si>
  <si>
    <t>Rev</t>
  </si>
  <si>
    <t>Schedule</t>
  </si>
  <si>
    <t>Sched</t>
  </si>
  <si>
    <t>Standard</t>
  </si>
  <si>
    <t>Std</t>
  </si>
  <si>
    <t>Structure</t>
  </si>
  <si>
    <t>Structures</t>
  </si>
  <si>
    <t>Struct</t>
  </si>
  <si>
    <t>Structs</t>
  </si>
  <si>
    <t>Srvy</t>
  </si>
  <si>
    <t>Temporary</t>
  </si>
  <si>
    <t>Temp</t>
  </si>
  <si>
    <t>Typical</t>
  </si>
  <si>
    <t>Typ</t>
  </si>
  <si>
    <t>Vertical</t>
  </si>
  <si>
    <t>Vert</t>
  </si>
  <si>
    <t>PLANS-01-ROADWAY</t>
  </si>
  <si>
    <t>PLANS-02-SIGNINGMARKING</t>
  </si>
  <si>
    <t>PLANS-03-SIGNALIZATION</t>
  </si>
  <si>
    <t>PLANS-04-ITS</t>
  </si>
  <si>
    <t>PLANS-05-LIGHTING</t>
  </si>
  <si>
    <t>PLANS-06-LANDSCAPE</t>
  </si>
  <si>
    <t>PLANS-07-ARCHITECHTURAL</t>
  </si>
  <si>
    <t>PLANS-08-STRUCTURES</t>
  </si>
  <si>
    <t>PLANS-10-UTILITYWORK</t>
  </si>
  <si>
    <t>PLANS-09-TOLLFACILITIES</t>
  </si>
  <si>
    <t>ID</t>
  </si>
  <si>
    <t>PLANS-01-ROADWAY-COREBORINGS</t>
  </si>
  <si>
    <t>PLANS-01-ROADWAY-VERIFIEDUTILITIES</t>
  </si>
  <si>
    <t>PLANS-01-ROADWAY-TREESURVEY</t>
  </si>
  <si>
    <t>QMP</t>
  </si>
  <si>
    <t>Lightpole Shop Drawings</t>
  </si>
  <si>
    <t>Drawings</t>
  </si>
  <si>
    <t>Dwgs</t>
  </si>
  <si>
    <t>Backwall Repair</t>
  </si>
  <si>
    <t>MSE Strap Connection</t>
  </si>
  <si>
    <t>Conduit Routing for ITS MOC</t>
  </si>
  <si>
    <t>Barrier Reinforcing Dowel</t>
  </si>
  <si>
    <t>Temporary Lighting Plan</t>
  </si>
  <si>
    <t>Bridge Feasibility Assessment</t>
  </si>
  <si>
    <t>Roadway Concept Plans</t>
  </si>
  <si>
    <t>Guide Sign Worksheets</t>
  </si>
  <si>
    <t>Maintenance Access Exhibit</t>
  </si>
  <si>
    <t>Maintenance</t>
  </si>
  <si>
    <t>Maint</t>
  </si>
  <si>
    <t>Cross Section</t>
  </si>
  <si>
    <t>Right of Way</t>
  </si>
  <si>
    <t>FDOT Production Deliverables</t>
  </si>
  <si>
    <t>FDOT Production Deliverables (Phased)</t>
  </si>
  <si>
    <t>Deliverable</t>
  </si>
  <si>
    <t>Roadway Plans</t>
  </si>
  <si>
    <t>Signing and Pavement Marking Plans</t>
  </si>
  <si>
    <t>Signalization Plans</t>
  </si>
  <si>
    <t>Intelligent Transportation System (ITS) Plans</t>
  </si>
  <si>
    <t>Lighting Plans</t>
  </si>
  <si>
    <t>Landscaping Plans</t>
  </si>
  <si>
    <t>Architectural Plans</t>
  </si>
  <si>
    <t>Structures Plans</t>
  </si>
  <si>
    <t>Toll Plans</t>
  </si>
  <si>
    <t>Utility Work by Highway Contractor Agreement Plans</t>
  </si>
  <si>
    <t>Roadway Plans - Geotechnical Core Borings</t>
  </si>
  <si>
    <t>Roadway Plans - Verification of Underground Utilities Survey</t>
  </si>
  <si>
    <t>Roadway Plans - Tree Survey</t>
  </si>
  <si>
    <t>Deliverable ID</t>
  </si>
  <si>
    <t>CADD Folder</t>
  </si>
  <si>
    <t>Prelim Engineering - Line and Grade</t>
  </si>
  <si>
    <t>15pct</t>
  </si>
  <si>
    <t>30pct</t>
  </si>
  <si>
    <t>30Apct</t>
  </si>
  <si>
    <t>45pct</t>
  </si>
  <si>
    <t>90pct</t>
  </si>
  <si>
    <t>Final</t>
  </si>
  <si>
    <t>Design - Released for Construction</t>
  </si>
  <si>
    <t>RC</t>
  </si>
  <si>
    <t>RFC</t>
  </si>
  <si>
    <t>Design - Phase Submittal (60%)</t>
  </si>
  <si>
    <t>60pct</t>
  </si>
  <si>
    <t>ICE Report</t>
  </si>
  <si>
    <t>Design Variation Package</t>
  </si>
  <si>
    <t>Design Exception Package</t>
  </si>
  <si>
    <t>Design Memorandum</t>
  </si>
  <si>
    <t>Lane Repurposing Approval</t>
  </si>
  <si>
    <t>FAA Determination</t>
  </si>
  <si>
    <t>Intersection Number Request Form</t>
  </si>
  <si>
    <t>Contract Time Memorandum</t>
  </si>
  <si>
    <t>Permit Exemption Letter</t>
  </si>
  <si>
    <t>Structure Number Request Form</t>
  </si>
  <si>
    <t>Value Engineering Report</t>
  </si>
  <si>
    <t>Pavement Design Report</t>
  </si>
  <si>
    <t>AutoTurn Analysis</t>
  </si>
  <si>
    <t>Superelevation Analysis</t>
  </si>
  <si>
    <t>Cross Slope Evaluation</t>
  </si>
  <si>
    <t>Barrier Length of Need Analysis</t>
  </si>
  <si>
    <t>Sight Distance Analysis</t>
  </si>
  <si>
    <t>Lane Closure Analysis</t>
  </si>
  <si>
    <t>Work Zone Speed Study</t>
  </si>
  <si>
    <t>Summary of Pay Items Report</t>
  </si>
  <si>
    <t>Cross Section Sheet</t>
  </si>
  <si>
    <t>Transportation Management Plan</t>
  </si>
  <si>
    <t>ADA Assessment Report</t>
  </si>
  <si>
    <t>Roadway Safety Assessment Report</t>
  </si>
  <si>
    <t>Roadway Operational Assessment Report</t>
  </si>
  <si>
    <t>Existing Roadway Characteristics Assessment Report</t>
  </si>
  <si>
    <t>Community Awareness Plan</t>
  </si>
  <si>
    <t>Express Lanes Separation Treatment Selection Memo</t>
  </si>
  <si>
    <t>Location Hydraulics Report</t>
  </si>
  <si>
    <t>Bridge Hydraulics Report</t>
  </si>
  <si>
    <t>Pond Siting Report</t>
  </si>
  <si>
    <t>Drainage Report</t>
  </si>
  <si>
    <t>Base Clearance Water Evaluation Report</t>
  </si>
  <si>
    <t>Pipe Inspection Report</t>
  </si>
  <si>
    <t>Attachment to Barrier Calculations</t>
  </si>
  <si>
    <t>Multi-Post Sign Report</t>
  </si>
  <si>
    <t>Concept Signing Plan</t>
  </si>
  <si>
    <t>Sub-Surface Utility Location Form (mast arm)</t>
  </si>
  <si>
    <t>Signal Warrant Report</t>
  </si>
  <si>
    <t>Signal Analysis Report</t>
  </si>
  <si>
    <t>ITS Concept of Operations</t>
  </si>
  <si>
    <t>ITS Power Design Analysis Report</t>
  </si>
  <si>
    <t>Express Lanes Systems Engineering Mgmt Plan</t>
  </si>
  <si>
    <t>Express Lanes Concept of Operations</t>
  </si>
  <si>
    <t>Voltage Drop Calculations</t>
  </si>
  <si>
    <t>Lighting Justification Report</t>
  </si>
  <si>
    <t>Lighting Design Analysis Report</t>
  </si>
  <si>
    <t>Intersection Lighting Retrofit Report</t>
  </si>
  <si>
    <t>Lighting Agency Coordination</t>
  </si>
  <si>
    <t>Landscape Maintenance Plan</t>
  </si>
  <si>
    <t>Landscape Maintenance Cost Estimate</t>
  </si>
  <si>
    <t>Irrigation Feasibility Report</t>
  </si>
  <si>
    <t>Landscape Opportunity Plan</t>
  </si>
  <si>
    <t>Bridge Structure Design Calculations</t>
  </si>
  <si>
    <t>Temporary Detour Bridge Calculations</t>
  </si>
  <si>
    <t>Temporary Retaining Wall Design Calcs</t>
  </si>
  <si>
    <t>Temporary Shoring Design Calculations</t>
  </si>
  <si>
    <t>Retaining Wall Design Calculations</t>
  </si>
  <si>
    <t>Overhead Sign Structure Design Calcs</t>
  </si>
  <si>
    <t>Mast Arm Design Calculations</t>
  </si>
  <si>
    <t>Box Culvert Design Calculations</t>
  </si>
  <si>
    <t>High Mast Lighting Design Calcs</t>
  </si>
  <si>
    <t>Ancillary Structures Report</t>
  </si>
  <si>
    <t>Bridge Development Report</t>
  </si>
  <si>
    <t>Toll Siting Technical Memorandum</t>
  </si>
  <si>
    <t>Express Lanes Diagrams and Concept Plans</t>
  </si>
  <si>
    <t>Tolls Mechanical Design Analysis Report</t>
  </si>
  <si>
    <t>Tolls Structural Design Analysis Report</t>
  </si>
  <si>
    <t>Tolls Gantry Design Analysis Report</t>
  </si>
  <si>
    <t>Tolls Power Design Analysis Report</t>
  </si>
  <si>
    <t>GTR Deviations</t>
  </si>
  <si>
    <t>Electrical Calculations</t>
  </si>
  <si>
    <t>Mechanical Calculations</t>
  </si>
  <si>
    <t>Plumbing Calculations</t>
  </si>
  <si>
    <t>Structural Calculations</t>
  </si>
  <si>
    <t>Water Feature Hydraulic Calculations</t>
  </si>
  <si>
    <t>Civil Site Design Documentation</t>
  </si>
  <si>
    <t>Electrical Design Analysis Report</t>
  </si>
  <si>
    <t>Mechanical Design Analysis Report</t>
  </si>
  <si>
    <t>Roadway Geotechnical Report</t>
  </si>
  <si>
    <t>Sign Structure Geotechnical Report</t>
  </si>
  <si>
    <t>Signal Structure Geotechnical Report</t>
  </si>
  <si>
    <t>ITS Geotechnical Report</t>
  </si>
  <si>
    <t>Lighting Geotechnical Report</t>
  </si>
  <si>
    <t>Structures Geotechnical Report</t>
  </si>
  <si>
    <t>Architectural Geotechnical Investigation Report</t>
  </si>
  <si>
    <t>PSEE Folder</t>
  </si>
  <si>
    <t>Approvals</t>
  </si>
  <si>
    <t>Signals</t>
  </si>
  <si>
    <t>Landscape</t>
  </si>
  <si>
    <t>Tolls</t>
  </si>
  <si>
    <t>Architectural</t>
  </si>
  <si>
    <t>ERCAR</t>
  </si>
  <si>
    <t>Express Lane</t>
  </si>
  <si>
    <t>Express Lanes</t>
  </si>
  <si>
    <t>EL</t>
  </si>
  <si>
    <t>Design Analysis Report</t>
  </si>
  <si>
    <t>DAR</t>
  </si>
  <si>
    <t>Technical</t>
  </si>
  <si>
    <t>Tech</t>
  </si>
  <si>
    <t>Arch</t>
  </si>
  <si>
    <t>Correspondence</t>
  </si>
  <si>
    <t>ITS</t>
  </si>
  <si>
    <t>Pavement Design Package</t>
  </si>
  <si>
    <t>Horizontal Alignment Package</t>
  </si>
  <si>
    <t>Project Commitment Report</t>
  </si>
  <si>
    <t>Right-of-Way Map</t>
  </si>
  <si>
    <t>Smart Work Zone Requirements</t>
  </si>
  <si>
    <t>Asbestos Containing Materials</t>
  </si>
  <si>
    <t>ACM</t>
  </si>
  <si>
    <t>Lead-Based Paint</t>
  </si>
  <si>
    <t>LBP</t>
  </si>
  <si>
    <t>Lead-Based Paint Inspection Report</t>
  </si>
  <si>
    <t>Asbestos Containing Materials Evaluation Report</t>
  </si>
  <si>
    <t>Memorandum of Understanding</t>
  </si>
  <si>
    <t xml:space="preserve">SFWMD and SWFWMD </t>
  </si>
  <si>
    <t>MOU</t>
  </si>
  <si>
    <t>Chars</t>
  </si>
  <si>
    <t>Coordination</t>
  </si>
  <si>
    <t>Coord</t>
  </si>
  <si>
    <t>Century Link</t>
  </si>
  <si>
    <t>Level 3</t>
  </si>
  <si>
    <t>Charter-Spectrum</t>
  </si>
  <si>
    <t>City of Winter Have IT FOC</t>
  </si>
  <si>
    <t>Comcast</t>
  </si>
  <si>
    <t>Duke Energy Distribution</t>
  </si>
  <si>
    <t>Duke Energy Fiber</t>
  </si>
  <si>
    <t>Duke Energy Transmission</t>
  </si>
  <si>
    <t>Distribution</t>
  </si>
  <si>
    <t>Transmission</t>
  </si>
  <si>
    <t>Dist</t>
  </si>
  <si>
    <t>Trans</t>
  </si>
  <si>
    <t>Florida Public Utilities</t>
  </si>
  <si>
    <t>Frontier Florida</t>
  </si>
  <si>
    <t>Polk County Utilities</t>
  </si>
  <si>
    <t>Summit Broadband</t>
  </si>
  <si>
    <t>ZAYO</t>
  </si>
  <si>
    <t>Brightline Draft Design Criteria</t>
  </si>
  <si>
    <t>Brightline Typical Sections</t>
  </si>
  <si>
    <t>Interim Drainage Typical Section</t>
  </si>
  <si>
    <t>Permit (SFWMD ERP)</t>
  </si>
  <si>
    <t>\d{2}-\d{5}-[a-zA-Z]</t>
  </si>
  <si>
    <t>Permit (SWFWMD ERP)</t>
  </si>
  <si>
    <t>Permit (USFWS Biological Opinion)</t>
  </si>
  <si>
    <t>Permit (USACE Section 404)</t>
  </si>
  <si>
    <t>Regex</t>
  </si>
  <si>
    <t>43-1234567</t>
  </si>
  <si>
    <t>FPID Document</t>
  </si>
  <si>
    <t>State Permit</t>
  </si>
  <si>
    <t>Permit Document</t>
  </si>
  <si>
    <t>USACE Permit</t>
  </si>
  <si>
    <t>SFWMD Permit (I-4 and US-27)</t>
  </si>
  <si>
    <t>SWFWMD Permit (Grandview)</t>
  </si>
  <si>
    <t>12-34567-P</t>
  </si>
  <si>
    <t>SAJ-1234-56789</t>
  </si>
  <si>
    <t>^SAJ-\d{4}-\d{5}(\(.*\))?$</t>
  </si>
  <si>
    <t>^(43-)?\d{7}$</t>
  </si>
  <si>
    <t>\b\d{4}-\d{7}\b</t>
  </si>
  <si>
    <t>2026-0123456</t>
  </si>
  <si>
    <t>Type</t>
  </si>
  <si>
    <t>Optional Fields</t>
  </si>
  <si>
    <t>Field</t>
  </si>
  <si>
    <t>Lookup</t>
  </si>
  <si>
    <t>Text</t>
  </si>
  <si>
    <t>Validation</t>
  </si>
  <si>
    <t>Date</t>
  </si>
  <si>
    <t>Select</t>
  </si>
  <si>
    <t>Number</t>
  </si>
  <si>
    <t>Format</t>
  </si>
  <si>
    <t>000000-0</t>
  </si>
  <si>
    <t>Projects[Name]</t>
  </si>
  <si>
    <t>FPIDs[FPID]</t>
  </si>
  <si>
    <t>Deliverables[Name]</t>
  </si>
  <si>
    <t>Permits[Name]</t>
  </si>
  <si>
    <t>Permit</t>
  </si>
  <si>
    <t>Submittal</t>
  </si>
  <si>
    <t>Revision ID</t>
  </si>
  <si>
    <t>0000</t>
  </si>
  <si>
    <t>^\d{1,7}$</t>
  </si>
  <si>
    <t>^\d{1,4}$</t>
  </si>
  <si>
    <t>^\d{1,2}$</t>
  </si>
  <si>
    <t>Required</t>
  </si>
  <si>
    <t>Submittal Prefix</t>
  </si>
  <si>
    <t>Permit ID</t>
  </si>
  <si>
    <t>Permits[Regex]:Permit</t>
  </si>
  <si>
    <t>SFWMD-ERP</t>
  </si>
  <si>
    <t>SWFWMD-ERP</t>
  </si>
  <si>
    <t>USACE-404</t>
  </si>
  <si>
    <t>USFWS-BO</t>
  </si>
  <si>
    <t>Code</t>
  </si>
  <si>
    <t>Permit Code</t>
  </si>
  <si>
    <t>Lookups</t>
  </si>
  <si>
    <t>[Full FPID]-GuideSignWorksheets</t>
  </si>
  <si>
    <t>[Full FPID]-[Deliverable ID]-[Phase ID]</t>
  </si>
  <si>
    <t>[Full FPID]-[Deliverable ID(-Revision ID)]</t>
  </si>
  <si>
    <t>"REV"00</t>
  </si>
  <si>
    <t>FPID Document (External)</t>
  </si>
  <si>
    <t>External FPID</t>
  </si>
  <si>
    <t>Subtitle</t>
  </si>
  <si>
    <t>[Project ID]-[Submittal Prefix]-[Submittal ID]-[Resubmittal ID]_[Title(-Subtitle)]</t>
  </si>
  <si>
    <t>[External FPID]_[Title(-Subtitle)]</t>
  </si>
  <si>
    <t>[FPID]_[Title(-Subtitle)]</t>
  </si>
  <si>
    <t>[FPID]_[Title(-Subtitle)]_[Date]</t>
  </si>
  <si>
    <t>Submittals[Name]</t>
  </si>
  <si>
    <t>PX-SX-0001.01_DocumentName</t>
  </si>
  <si>
    <t>12345678901-PLANS-XX-SUBDISCIPLINE-Ph0</t>
  </si>
  <si>
    <t>123456-7_DocumentName</t>
  </si>
  <si>
    <t>12345678901-PLANS-XX-SUBDISCIPLINE</t>
  </si>
  <si>
    <t>123456-7_DocumentName_YYYY-MM-DD</t>
  </si>
  <si>
    <t>[Permit ID]_Permit-[Permit Code]</t>
  </si>
  <si>
    <t>XXXXX-XX_Permit-WMD-ERP</t>
  </si>
  <si>
    <t>12345678901-GuideSignWorksheets</t>
  </si>
  <si>
    <t>S&amp;PM</t>
  </si>
  <si>
    <t>FPIDs[FPID]:FPID-&gt;FPIDs[Full FPID]</t>
  </si>
  <si>
    <t>Deliverables[Name]:Deliverable-&gt;Deliverables[ID]</t>
  </si>
  <si>
    <t>Submittals[Name]:Submittal-&gt;Submittals[Phase]</t>
  </si>
  <si>
    <t>Projects[Name]:Project-&gt;Projects[ID]</t>
  </si>
  <si>
    <t>Submittals[Name]:Submittal-&gt;Submittals[Code]</t>
  </si>
  <si>
    <t>Permits[Name]:Permit-&gt;Permits[Code]</t>
  </si>
  <si>
    <t>Phase ID</t>
  </si>
  <si>
    <t>Program Document</t>
  </si>
  <si>
    <t>MI4-DocumentName</t>
  </si>
  <si>
    <t>MI4_[Title]</t>
  </si>
  <si>
    <t>Valid Rules and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</si>
</sst>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\-0"/>
    <numFmt numFmtId="165" formatCode="0000"/>
    <numFmt numFmtId="166" formatCode="00"/>
    <numFmt numFmtId="167" formatCode="&quot;REV&quot;00"/>
  </numFmts>
  <fonts count="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7F7F7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7F7F7F"/>
      </right>
      <top style="thin">
        <color rgb="FF3F3F3F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3F3F3F"/>
      </right>
      <top style="thin">
        <color rgb="FF7F7F7F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32">
    <xf numFmtId="0" fontId="0" fillId="0" borderId="0" xfId="0"/>
    <xf numFmtId="0" fontId="1" fillId="2" borderId="1" xfId="1"/>
    <xf numFmtId="0" fontId="1" fillId="2" borderId="1" xfId="1" applyAlignment="1">
      <alignment horizontal="center" vertical="center"/>
    </xf>
    <xf numFmtId="0" fontId="2" fillId="3" borderId="2" xfId="2"/>
    <xf numFmtId="0" fontId="2" fillId="3" borderId="2" xfId="2" applyNumberFormat="1"/>
    <xf numFmtId="0" fontId="1" fillId="2" borderId="3" xfId="1" applyBorder="1"/>
    <xf numFmtId="0" fontId="2" fillId="3" borderId="4" xfId="2" applyNumberFormat="1" applyBorder="1"/>
    <xf numFmtId="0" fontId="2" fillId="3" borderId="5" xfId="2" applyNumberFormat="1" applyBorder="1"/>
    <xf numFmtId="0" fontId="2" fillId="3" borderId="6" xfId="2" applyNumberFormat="1" applyBorder="1"/>
    <xf numFmtId="0" fontId="0" fillId="0" borderId="0" xfId="0" applyAlignment="1">
      <alignment wrapText="1"/>
    </xf>
    <xf numFmtId="49" fontId="0" fillId="0" borderId="0" xfId="0" applyNumberFormat="1"/>
    <xf numFmtId="0" fontId="4" fillId="0" borderId="7" xfId="0" applyFont="1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2" xfId="2" applyNumberFormat="1" applyAlignment="1">
      <alignment horizontal="center" vertical="center"/>
    </xf>
    <xf numFmtId="0" fontId="2" fillId="3" borderId="8" xfId="2" applyNumberFormat="1" applyBorder="1"/>
    <xf numFmtId="0" fontId="2" fillId="3" borderId="9" xfId="2" applyNumberFormat="1" applyBorder="1"/>
    <xf numFmtId="14" fontId="1" fillId="2" borderId="1" xfId="1" applyNumberFormat="1"/>
    <xf numFmtId="14" fontId="1" fillId="2" borderId="0" xfId="1" applyNumberFormat="1" applyBorder="1"/>
    <xf numFmtId="0" fontId="2" fillId="3" borderId="2" xfId="2" applyNumberFormat="1" applyAlignment="1">
      <alignment horizontal="center"/>
    </xf>
    <xf numFmtId="0" fontId="2" fillId="3" borderId="2" xfId="2" applyAlignment="1">
      <alignment horizontal="center"/>
    </xf>
    <xf numFmtId="0" fontId="2" fillId="3" borderId="4" xfId="2" applyNumberFormat="1" applyBorder="1" applyAlignment="1">
      <alignment horizontal="center"/>
    </xf>
    <xf numFmtId="164" fontId="1" fillId="2" borderId="1" xfId="1" applyNumberFormat="1"/>
    <xf numFmtId="164" fontId="1" fillId="2" borderId="3" xfId="1" applyNumberFormat="1" applyBorder="1"/>
    <xf numFmtId="165" fontId="1" fillId="2" borderId="1" xfId="1" applyNumberFormat="1"/>
    <xf numFmtId="165" fontId="1" fillId="2" borderId="3" xfId="1" applyNumberFormat="1" applyBorder="1"/>
    <xf numFmtId="166" fontId="1" fillId="2" borderId="1" xfId="1" applyNumberFormat="1"/>
    <xf numFmtId="166" fontId="1" fillId="2" borderId="3" xfId="1" applyNumberFormat="1" applyBorder="1"/>
    <xf numFmtId="167" fontId="1" fillId="2" borderId="1" xfId="1" applyNumberFormat="1"/>
    <xf numFmtId="167" fontId="1" fillId="2" borderId="3" xfId="1" applyNumberFormat="1" applyBorder="1"/>
    <xf numFmtId="14" fontId="2" fillId="3" borderId="2" xfId="2" applyNumberFormat="1"/>
    <xf numFmtId="0" fontId="1" fillId="2" borderId="10" xfId="1" applyBorder="1" applyAlignment="1">
      <alignment horizontal="center" vertical="center"/>
    </xf>
    <xf numFmtId="0" fontId="2" fillId="3" borderId="4" xfId="2" applyNumberFormat="1" applyBorder="1" applyAlignment="1">
      <alignment horizontal="center" vertical="center"/>
    </xf>
  </cellXfs>
  <cellStyles count="3">
    <cellStyle name="Input" xfId="1" builtinId="20"/>
    <cellStyle name="Normal" xfId="0" builtinId="0"/>
    <cellStyle name="Output" xfId="2" builtinId="21"/>
  </cellStyles>
  <dxfs count="24">
    <dxf>
      <font>
        <color rgb="FF9C0006"/>
      </font>
    </dxf>
    <dxf>
      <numFmt numFmtId="0" formatCode="General"/>
    </dxf>
    <dxf>
      <numFmt numFmtId="30" formatCode="@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outline="0">
        <right style="thin">
          <color rgb="FF3F3F3F"/>
        </right>
      </border>
    </dxf>
    <dxf>
      <alignment horizontal="center" vertical="center" textRotation="0" wrapText="0" indent="0" justifyLastLine="0" shrinkToFit="0" readingOrder="0"/>
      <border outline="0">
        <left style="thin">
          <color rgb="FF7F7F7F"/>
        </left>
      </border>
    </dxf>
    <dxf>
      <border outline="0">
        <right style="thin">
          <color rgb="FF7F7F7F"/>
        </right>
      </border>
    </dxf>
    <dxf>
      <numFmt numFmtId="0" formatCode="General"/>
    </dxf>
    <dxf>
      <numFmt numFmtId="0" formatCode="General"/>
      <border diagonalUp="0" diagonalDown="0">
        <left style="thin">
          <color rgb="FF3F3F3F"/>
        </left>
        <right/>
        <top style="thin">
          <color rgb="FF3F3F3F"/>
        </top>
        <bottom/>
        <vertical/>
        <horizontal/>
      </border>
    </dxf>
    <dxf>
      <numFmt numFmtId="0" formatCode="General"/>
      <border>
        <right style="thin">
          <color rgb="FF7F7F7F"/>
        </right>
      </border>
    </dxf>
    <dxf>
      <numFmt numFmtId="0" formatCode="General"/>
    </dxf>
    <dxf>
      <numFmt numFmtId="19" formatCode="m/d/yy"/>
    </dxf>
    <dxf>
      <numFmt numFmtId="19" formatCode="m/d/yy"/>
      <border outline="0">
        <left style="thin">
          <color rgb="FF7F7F7F"/>
        </left>
      </border>
    </dxf>
    <dxf>
      <numFmt numFmtId="166" formatCode="00"/>
      <border>
        <left style="thin">
          <color rgb="FF7F7F7F"/>
        </left>
      </border>
    </dxf>
    <dxf>
      <numFmt numFmtId="165" formatCode="0000"/>
      <border>
        <right style="thin">
          <color rgb="FF7F7F7F"/>
        </right>
      </border>
    </dxf>
    <dxf>
      <border outline="0">
        <right style="thin">
          <color rgb="FF7F7F7F"/>
        </right>
      </border>
    </dxf>
    <dxf>
      <border outline="0">
        <left style="thin">
          <color rgb="FF7F7F7F"/>
        </left>
      </border>
    </dxf>
    <dxf>
      <numFmt numFmtId="167" formatCode="&quot;REV&quot;00"/>
    </dxf>
    <dxf>
      <border outline="0">
        <right style="thin">
          <color rgb="FF7F7F7F"/>
        </right>
      </border>
    </dxf>
    <dxf>
      <numFmt numFmtId="164" formatCode="000000\-0"/>
    </dxf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AFB3EB0-D947-4C33-80E1-E837F239CC76}" name="Tests" displayName="Tests" ref="A1:S78" totalsRowShown="0">
  <autoFilter ref="A1:S78" xr:uid="{8AFB3EB0-D947-4C33-80E1-E837F239CC76}"/>
  <tableColumns count="19">
    <tableColumn id="1" xr3:uid="{C1E9C1AB-A90B-4E11-9EC3-EC3841C9363B}" name="Title" dataCellStyle="Input"/>
    <tableColumn id="7" xr3:uid="{AED9CBB0-D2C6-4A98-BF65-6FFA50D8404B}" name="Subtitle" dataCellStyle="Input"/>
    <tableColumn id="2" xr3:uid="{79791F67-CD28-40E5-8BCA-6EA808F582CB}" name="Convention" dataCellStyle="Input"/>
    <tableColumn id="5" xr3:uid="{1CF178CC-81AC-4380-98F0-CBEF89A45BA9}" name="FPID" dataCellStyle="Input"/>
    <tableColumn id="31" xr3:uid="{B42599DA-DA9D-4141-9FD2-36DA7D91F192}" name="External FPID" dataDxfId="22" dataCellStyle="Input"/>
    <tableColumn id="10" xr3:uid="{09C891AE-7782-4373-BFD3-875CA2D127EC}" name="Deliverable" dataCellStyle="Input"/>
    <tableColumn id="12" xr3:uid="{4929F6C6-AB98-49D3-9817-DA781970073E}" name="Permit" dataCellStyle="Input"/>
    <tableColumn id="17" xr3:uid="{E6F10097-C0A7-4AB9-9FCB-F3998A3C403B}" name="Permit ID" dataDxfId="21" dataCellStyle="Input"/>
    <tableColumn id="30" xr3:uid="{E90C6E9E-10A0-7D47-B7B0-9B68EA602628}" name="Revision ID" dataDxfId="20" dataCellStyle="Input"/>
    <tableColumn id="6" xr3:uid="{4A0C3B22-926F-4E8C-BA58-E3C0FBE99C43}" name="Project" dataDxfId="19" dataCellStyle="Input"/>
    <tableColumn id="8" xr3:uid="{16067908-FA75-4539-8A90-75B0FB1BEB35}" name="Submittal" dataDxfId="18" dataCellStyle="Input"/>
    <tableColumn id="9" xr3:uid="{FD0B1E66-73BA-4817-B2A2-BB843BE61109}" name="Submittal ID" dataDxfId="17" dataCellStyle="Input"/>
    <tableColumn id="15" xr3:uid="{342FD3AD-FCFA-4F2E-9C39-2B8B99C0EDE3}" name="Resubmittal ID" dataDxfId="16" dataCellStyle="Input"/>
    <tableColumn id="22" xr3:uid="{549B0321-8F5D-4341-9E4E-15EDD3023C24}" name="Date" dataDxfId="15" dataCellStyle="Input">
      <calculatedColumnFormula>TODAY()</calculatedColumnFormula>
    </tableColumn>
    <tableColumn id="32" xr3:uid="{82B7A5BD-3092-3447-831D-28407140C0E6}" name="Validation" dataDxfId="14" dataCellStyle="Output">
      <calculatedColumnFormula array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calculatedColumnFormula>
    </tableColumn>
    <tableColumn id="3" xr3:uid="{4BC68350-9FB8-4454-8644-3B25C5DED89C}" name="Valid Name" dataDxfId="13" dataCellStyle="Output">
      <calculatedColumnFormula array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calculatedColumnFormula>
    </tableColumn>
    <tableColumn id="4" xr3:uid="{F4B6BE35-D88E-4609-B210-F635E539D5A6}" name="Required Fields" dataDxfId="12" dataCellStyle="Output">
      <calculatedColumnFormula>_xlfn.XLOOKUP(Tests[[#This Row],[Convention]], Conventions[Name],Conventions[Required Fields])</calculatedColumnFormula>
    </tableColumn>
    <tableColumn id="18" xr3:uid="{67E3A174-B65F-974A-9536-DCDBD678C419}" name="Optional Fields" dataDxfId="11" dataCellStyle="Output">
      <calculatedColumnFormula>_xlfn.XLOOKUP(Tests[[#This Row],[Convention]], Conventions[Name],Conventions[Optional Fields])</calculatedColumnFormula>
    </tableColumn>
    <tableColumn id="14" xr3:uid="{D4F4218E-CDC2-4672-B9DC-9F06ADF87EBA}" name="Chars" dataDxfId="10" dataCellStyle="Output">
      <calculatedColumnFormula>LEN(Tests[[#This Row],[Valid Name]])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F9A3CB-CDD6-4B4D-A5D5-87099EBAFB51}" name="Conventions" displayName="Conventions" ref="A1:I10" totalsRowShown="0" dataCellStyle="Input">
  <autoFilter ref="A1:I10" xr:uid="{09F9A3CB-CDD6-4B4D-A5D5-87099EBAFB51}"/>
  <tableColumns count="9">
    <tableColumn id="1" xr3:uid="{212D58CF-46D5-4ACA-AD67-ACC157D15981}" name="Name" dataDxfId="9" dataCellStyle="Input"/>
    <tableColumn id="17" xr3:uid="{1A3BC05E-9D68-B94C-8D2C-EC909A320FAD}" name="Description" dataCellStyle="Input"/>
    <tableColumn id="16" xr3:uid="{37022B4F-998E-4120-8916-2D2A95F61F91}" name="Example Doc Name" dataCellStyle="Input"/>
    <tableColumn id="9" xr3:uid="{D383C309-5BF6-4E46-B088-DF3B95A5F639}" name="Extension(s)" dataDxfId="8" dataCellStyle="Input"/>
    <tableColumn id="20" xr3:uid="{C8E7FDB4-DBC5-4A4D-BBCB-0B68E0AB391A}" name="Format" dataDxfId="7" dataCellStyle="Input"/>
    <tableColumn id="14" xr3:uid="{C8117DC2-9325-FE4A-A5CD-3F5DB4D916EA}" name="Required Fields" dataDxfId="6" dataCellStyle="Output">
      <calculatedColumnFormula array="1">_xlfn.LET(
    _xlpm.AllRequired, _xlfn._xlws.FILTER(Rules[Field], (Rules[Convention]=Conventions[[#This Row],[Name]]) * (Rules[Required]=TRUE), ""),
    _xlpm.NonLookup, _xlfn.MAP(_xlpm.AllRequired, _xlfn.LAMBDA(_xlpm.f,
        IF(IFERROR(_xlfn.XLOOKUP(_xlpm.f, Fields[Name], Fields[Type]), "")="Lookup", "", _xlpm.f)
    )),
    _xlfn.TEXTJOIN(", ", TRUE, _xlpm.NonLookup)
)</calculatedColumnFormula>
    </tableColumn>
    <tableColumn id="15" xr3:uid="{44C004A0-289D-8642-BBF4-956B8AD4AAE0}" name="Optional Fields" dataDxfId="5" dataCellStyle="Output">
      <calculatedColumnFormula array="1">_xlfn.LET(
    _xlpm.AllOptional, _xlfn._xlws.FILTER(Rules[Field], (Rules[Convention]=Conventions[[#This Row],[Name]]) * (Rules[Required]=FALSE), ""),
    _xlpm.NonLookup, _xlfn.MAP(_xlpm.AllOptional, _xlfn.LAMBDA(_xlpm.f,
        IF(IFERROR(_xlfn.XLOOKUP(_xlpm.f, Fields[Name], Fields[Type]), "")="Lookup", "", _xlpm.f)
    )),
    _xlfn.TEXTJOIN(", ", TRUE, _xlpm.NonLookup)
)</calculatedColumnFormula>
    </tableColumn>
    <tableColumn id="22" xr3:uid="{AAABBA94-2908-9748-B6D4-61272F365BB1}" name="Lookups" dataDxfId="4" dataCellStyle="Output">
      <calculatedColumnFormula array="1">_xlfn.LET(
    _xlpm.AllRuleFields, _xlfn._xlws.FILTER(Rules[Field], Rules[Convention]=Conventions[[#This Row],[Name]], ""),
    _xlpm.LookupDefs, _xlfn.MAP(_xlpm.AllRuleFields, _xlfn.LAMBDA(_xlpm.f,
        _xlfn.LET(
            _xlpm.fieldType, IFERROR(_xlfn.XLOOKUP(_xlpm.f, Fields[Name], Fields[Type]), ""),
            IF(_xlpm.fieldType="Lookup", _xlpm.f, "")
        )
    )),
    _xlfn.TEXTJOIN(", ", TRUE, _xlpm.LookupDefs)
)</calculatedColumnFormula>
    </tableColumn>
    <tableColumn id="21" xr3:uid="{189758CB-DD0D-2541-B94F-C74465B6415B}" name="Valid Rules and Format" dataDxfId="3" dataCellStyle="Output">
      <calculatedColumnFormula array="1">_xlfn.LET(
    _xlpm.Format, Conventions[[#This Row],[Format]],
    _xlpm.ReqFields, IF(Conventions[[#This Row],[Required Fields]]&lt;&gt;"", _xlfn.TEXTSPLIT(Conventions[[#This Row],[Required Fields]], ", "), ""),
    _xlpm.OptFields, IF(Conventions[[#This Row],[Optional Fields]]&lt;&gt;"", _xlfn.TEXTSPLIT(Conventions[[#This Row],[Optional Fields]], ", "), ""),
    _xlpm.LookupFields, IF(Conventions[[#This Row],[Lookups]]&lt;&gt;"", _xlfn.TEXTSPLIT(Conventions[[#This Row],[Lookups]], ", "), ""),
    _xlpm.Tokens, _xlfn.TEXTJOIN("§", TRUE, _xlfn.TEXTSPLIT(_xlpm.Format, "[")),
    _xlpm.FieldRefs, _xlfn.TEXTSPLIT(_xlpm.Tokens, "§"),
    _xlpm.FormatFields, _xlfn.MAP(_xlpm.FieldRefs, _xlfn.LAMBDA(_xlpm.token,
        IF(ISNUMBER(FIND("]", _xlpm.token)),
            _xlfn.LET(
                _xlpm.fieldName, LEFT(_xlpm.token, FIND("]", _xlpm.token)-1),
                IF(ISNUMBER(FIND("(", _xlpm.fieldName)),
                    LEFT(_xlpm.fieldName, FIND("(", _xlpm.fieldName)-1),
                    _xlpm.fieldName
                )
            ),
            ""
        )
    )),
    _xlpm.Unmatched, _xlfn.MAP(_xlpm.FormatFields, _xlfn.LAMBDA(_xlpm.f,
        IF(_xlpm.f="", "",
            IF(ISNUMBER(MATCH(_xlpm.f, _xlpm.ReqFields, 0)), "",
                IF(ISNUMBER(MATCH(_xlpm.f, _xlpm.OptFields, 0)), "",
                    IF(ISNUMBER(MATCH(_xlpm.f, _xlpm.LookupFields, 0)), "",
                        _xlpm.f
                    )
                )
            )
        )
    )),
    _xlpm.Result, _xlfn.TEXTJOIN(", ", TRUE, _xlpm.Unmatched),
    IF(_xlpm.Result="", "✓", "⚠️ UNMATCHED: " &amp; _xlpm.Result)
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4C1A3D7-B618-0E49-A878-A968DEBCD093}" name="Fields" displayName="Fields" ref="A1:D20" totalsRowShown="0">
  <autoFilter ref="A1:D20" xr:uid="{64C1A3D7-B618-0E49-A878-A968DEBCD093}"/>
  <tableColumns count="4">
    <tableColumn id="1" xr3:uid="{FCA7B0A2-8643-6F40-81C1-C8749B6DE35C}" name="Name"/>
    <tableColumn id="2" xr3:uid="{447FD792-A31C-C34E-9846-0DB254BDF57E}" name="Type"/>
    <tableColumn id="3" xr3:uid="{CF79C088-382E-5A4A-89C0-409EEB2C96D8}" name="Validation"/>
    <tableColumn id="4" xr3:uid="{7A02CFDE-65D6-6B46-A8AD-4A7C579B36C9}" name="Format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2E62438-770E-B346-AAC5-91F0CE2A988A}" name="Rules" displayName="Rules" ref="A1:C37" totalsRowShown="0">
  <autoFilter ref="A1:C37" xr:uid="{42E62438-770E-B346-AAC5-91F0CE2A988A}"/>
  <tableColumns count="3">
    <tableColumn id="1" xr3:uid="{8B50CB75-441C-A74C-BBE8-D2B6B87C30AB}" name="Convention"/>
    <tableColumn id="2" xr3:uid="{92465667-05F2-D04B-997C-A23C1B88851C}" name="Field"/>
    <tableColumn id="3" xr3:uid="{DECF5C5D-6572-EB4B-9D63-5044807CBF0D}" name="Required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2C8C60-AD14-46E7-9666-76E8BA0AE0F3}" name="Abbr" displayName="Abbr" ref="A1:B67" totalsRowShown="0">
  <autoFilter ref="A1:B67" xr:uid="{112C8C60-AD14-46E7-9666-76E8BA0AE0F3}"/>
  <sortState xmlns:xlrd2="http://schemas.microsoft.com/office/spreadsheetml/2017/richdata2" ref="A2:B63">
    <sortCondition ref="A1:A63"/>
  </sortState>
  <tableColumns count="2">
    <tableColumn id="1" xr3:uid="{D9597802-B5F3-43F2-8CD1-6BDE7C9B908A}" name="Key"/>
    <tableColumn id="2" xr3:uid="{CD0CCFFC-CDBE-451F-AE35-99A8D2B6A082}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64BC2B-F9F7-4C3A-AE1C-3F8D541CF349}" name="Projects" displayName="Projects" ref="A1:B8" totalsRowShown="0">
  <autoFilter ref="A1:B8" xr:uid="{A464BC2B-F9F7-4C3A-AE1C-3F8D541CF349}"/>
  <tableColumns count="2">
    <tableColumn id="1" xr3:uid="{0FDFD568-BE12-40ED-9B4D-C947F4FEE1C0}" name="Name"/>
    <tableColumn id="2" xr3:uid="{ABAB833E-3F9F-499E-B48C-AC051BEA1C25}" name="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00B6A1-5EB4-4530-A34E-8D0BAB710199}" name="FPIDs" displayName="FPIDs" ref="D10:G23" totalsRowShown="0">
  <autoFilter ref="D10:G23" xr:uid="{3000B6A1-5EB4-4530-A34E-8D0BAB710199}"/>
  <tableColumns count="4">
    <tableColumn id="1" xr3:uid="{935F6B39-5648-47F3-8850-6FFEF4F43954}" name="FPID"/>
    <tableColumn id="2" xr3:uid="{63AC42B7-AF58-4BFE-9B2E-F586FD4320A0}" name="Description"/>
    <tableColumn id="4" xr3:uid="{E0C34913-A05A-480D-840C-7C07BD4DF16D}" name="Full FPID" dataDxfId="1">
      <calculatedColumnFormula>SUBSTITUTE(FPIDs[[#This Row],[FPID]], "-", "")&amp;"5201"</calculatedColumnFormula>
    </tableColumn>
    <tableColumn id="3" xr3:uid="{BEBBF460-0362-49B8-A394-4249137E6488}" name="Projec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ED7DB3-B119-43F0-BE13-2CC6871DA42E}" name="DevPhases" displayName="DevPhases" ref="I25:I29" totalsRowShown="0">
  <autoFilter ref="I25:I29" xr:uid="{BAED7DB3-B119-43F0-BE13-2CC6871DA42E}"/>
  <tableColumns count="1">
    <tableColumn id="1" xr3:uid="{C506E081-D481-44B4-AC75-3605D7A5DB55}" name="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B179BF-7E11-4BC5-A092-5FFD215ACC1D}" name="Submittals" displayName="Submittals" ref="K31:M46" totalsRowShown="0">
  <autoFilter ref="K31:M46" xr:uid="{A5B179BF-7E11-4BC5-A092-5FFD215ACC1D}"/>
  <tableColumns count="3">
    <tableColumn id="1" xr3:uid="{2123686D-FB8D-475B-9917-279890869A5F}" name="Name"/>
    <tableColumn id="3" xr3:uid="{AD26D074-BA1D-4542-AB70-DA798DE3B1CB}" name="Code"/>
    <tableColumn id="4" xr3:uid="{BAE60262-6A75-4187-834B-4D8928BB0BA4}" name="Pha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1194B-6FF6-441C-AC19-B0A17E36DC22}" name="Deliverables" displayName="Deliverables" ref="O48:P62" totalsRowShown="0">
  <autoFilter ref="O48:P62" xr:uid="{89E1194B-6FF6-441C-AC19-B0A17E36DC22}"/>
  <tableColumns count="2">
    <tableColumn id="1" xr3:uid="{209E3F25-CED3-4EC7-920B-E9AC9C0A0352}" name="Name"/>
    <tableColumn id="2" xr3:uid="{FDD24A23-684C-46AB-BC9E-693552386915}" name="I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F642DCB-A7CE-472D-99B3-65A290DB5C30}" name="Permits" displayName="Permits" ref="R64:T68" totalsRowShown="0">
  <autoFilter ref="R64:T68" xr:uid="{2F642DCB-A7CE-472D-99B3-65A290DB5C30}"/>
  <tableColumns count="3">
    <tableColumn id="1" xr3:uid="{FCBA1497-3CAA-445C-8EA1-8A56DEF6EA78}" name="Name"/>
    <tableColumn id="2" xr3:uid="{D2392575-55F5-4FEF-8020-A321FB2FB8BB}" name="Regex"/>
    <tableColumn id="3" xr3:uid="{0C8C377C-E472-4E6A-90AC-7385AEEE7C3E}" name="Cod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962690-3FEE-427A-9D84-3C3E64940DD8}" name="Table10" displayName="Table10" ref="A1:B91" totalsRowShown="0">
  <autoFilter ref="A1:B91" xr:uid="{FA962690-3FEE-427A-9D84-3C3E64940DD8}"/>
  <tableColumns count="2">
    <tableColumn id="1" xr3:uid="{6E56A788-F73A-4D1B-8FA0-2B795E92B95E}" name="Name"/>
    <tableColumn id="2" xr3:uid="{226BE4BB-D8AD-4D77-A832-5AE39692FA4F}" name="PSEE Fol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10FC-4547-42F1-8B44-6CF20F0E1942}">
  <dimension ref="A1:S78"/>
  <sheetViews>
    <sheetView topLeftCell="A27" zoomScaleNormal="100" workbookViewId="0">
      <selection activeCell="J43" sqref="J43"/>
    </sheetView>
  </sheetViews>
  <sheetFormatPr baseColWidth="10" defaultColWidth="8.83203125" defaultRowHeight="15" x14ac:dyDescent="0.2"/>
  <cols>
    <col min="1" max="1" width="45.6640625" bestFit="1" customWidth="1"/>
    <col min="2" max="2" width="25.33203125" bestFit="1" customWidth="1"/>
    <col min="3" max="3" width="33.83203125" bestFit="1" customWidth="1"/>
    <col min="4" max="4" width="13.83203125" bestFit="1" customWidth="1"/>
    <col min="5" max="5" width="13.83203125" customWidth="1"/>
    <col min="6" max="6" width="35.1640625" bestFit="1" customWidth="1"/>
    <col min="7" max="7" width="29.6640625" bestFit="1" customWidth="1"/>
    <col min="8" max="8" width="13.83203125" bestFit="1" customWidth="1"/>
    <col min="9" max="9" width="13.83203125" customWidth="1"/>
    <col min="10" max="10" width="28.83203125" bestFit="1" customWidth="1"/>
    <col min="11" max="11" width="26.33203125" bestFit="1" customWidth="1"/>
    <col min="12" max="12" width="16.33203125" bestFit="1" customWidth="1"/>
    <col min="13" max="14" width="14.6640625" customWidth="1"/>
    <col min="15" max="15" width="11.6640625" customWidth="1"/>
    <col min="16" max="16" width="47" bestFit="1" customWidth="1"/>
    <col min="17" max="17" width="30.33203125" bestFit="1" customWidth="1"/>
    <col min="18" max="18" width="20.83203125" bestFit="1" customWidth="1"/>
  </cols>
  <sheetData>
    <row r="1" spans="1:19" x14ac:dyDescent="0.2">
      <c r="A1" t="s">
        <v>130</v>
      </c>
      <c r="B1" t="s">
        <v>478</v>
      </c>
      <c r="C1" t="s">
        <v>82</v>
      </c>
      <c r="D1" t="s">
        <v>19</v>
      </c>
      <c r="E1" t="s">
        <v>477</v>
      </c>
      <c r="F1" t="s">
        <v>252</v>
      </c>
      <c r="G1" t="s">
        <v>454</v>
      </c>
      <c r="H1" t="s">
        <v>463</v>
      </c>
      <c r="I1" t="s">
        <v>456</v>
      </c>
      <c r="J1" t="s">
        <v>20</v>
      </c>
      <c r="K1" t="s">
        <v>455</v>
      </c>
      <c r="L1" t="s">
        <v>116</v>
      </c>
      <c r="M1" t="s">
        <v>117</v>
      </c>
      <c r="N1" t="s">
        <v>445</v>
      </c>
      <c r="O1" t="s">
        <v>444</v>
      </c>
      <c r="P1" t="s">
        <v>114</v>
      </c>
      <c r="Q1" t="s">
        <v>115</v>
      </c>
      <c r="R1" t="s">
        <v>440</v>
      </c>
      <c r="S1" t="s">
        <v>397</v>
      </c>
    </row>
    <row r="2" spans="1:19" x14ac:dyDescent="0.2">
      <c r="A2" s="1" t="s">
        <v>120</v>
      </c>
      <c r="B2" s="1"/>
      <c r="C2" s="1" t="s">
        <v>112</v>
      </c>
      <c r="D2" s="1" t="s">
        <v>51</v>
      </c>
      <c r="E2" s="21"/>
      <c r="F2" s="1"/>
      <c r="G2" s="1"/>
      <c r="H2" s="1"/>
      <c r="I2" s="27"/>
      <c r="J2" s="1"/>
      <c r="K2" s="1"/>
      <c r="L2" s="23"/>
      <c r="M2" s="25"/>
      <c r="N2" s="16">
        <f t="shared" ref="N2" ca="1" si="0">TODAY()</f>
        <v>46066</v>
      </c>
      <c r="O2" s="29" t="str" cm="1">
        <f t="array" aca="1" ref="O2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2" s="3" t="str" cm="1">
        <f t="array" aca="1" ref="P2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201210-9_WeeklyUpdate_2026-02-13.kmz</v>
      </c>
      <c r="Q2" s="3" t="str">
        <f>_xlfn.XLOOKUP(Tests[[#This Row],[Convention]], Conventions[Name],Conventions[Required Fields])</f>
        <v>FPID, Title, Date</v>
      </c>
      <c r="R2" s="3" t="str">
        <f>_xlfn.XLOOKUP(Tests[[#This Row],[Convention]], Conventions[Name],Conventions[Optional Fields])</f>
        <v>Subtitle</v>
      </c>
      <c r="S2" s="4">
        <f ca="1">LEN(Tests[[#This Row],[Valid Name]])</f>
        <v>36</v>
      </c>
    </row>
    <row r="3" spans="1:19" x14ac:dyDescent="0.2">
      <c r="A3" s="1" t="s">
        <v>134</v>
      </c>
      <c r="B3" s="1" t="s">
        <v>135</v>
      </c>
      <c r="C3" s="1" t="s">
        <v>110</v>
      </c>
      <c r="D3" s="1"/>
      <c r="E3" s="21"/>
      <c r="F3" s="1"/>
      <c r="G3" s="1"/>
      <c r="H3" s="1"/>
      <c r="I3" s="27"/>
      <c r="J3" s="1" t="s">
        <v>25</v>
      </c>
      <c r="K3" s="1" t="s">
        <v>97</v>
      </c>
      <c r="L3" s="23">
        <v>1</v>
      </c>
      <c r="M3" s="25">
        <v>0</v>
      </c>
      <c r="N3" s="16"/>
      <c r="O3" s="29" t="str" cm="1">
        <f t="array" aca="1" ref="O3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3" s="3" t="str" cm="1">
        <f t="array" aca="1" ref="P3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P5-PS-0001-00_90pctPvmtDsgnRpt-Seg1.pdf</v>
      </c>
      <c r="Q3" s="3" t="str">
        <f>_xlfn.XLOOKUP(Tests[[#This Row],[Convention]], Conventions[Name],Conventions[Required Fields])</f>
        <v>Project, Submittal, Submittal ID, Title</v>
      </c>
      <c r="R3" s="3" t="str">
        <f>_xlfn.XLOOKUP(Tests[[#This Row],[Convention]], Conventions[Name],Conventions[Optional Fields])</f>
        <v>Resubmittal ID, Subtitle</v>
      </c>
      <c r="S3" s="4">
        <f ca="1">LEN(Tests[[#This Row],[Valid Name]])</f>
        <v>39</v>
      </c>
    </row>
    <row r="4" spans="1:19" x14ac:dyDescent="0.2">
      <c r="A4" s="1" t="s">
        <v>147</v>
      </c>
      <c r="B4" s="1" t="s">
        <v>133</v>
      </c>
      <c r="C4" s="1" t="s">
        <v>110</v>
      </c>
      <c r="D4" s="1"/>
      <c r="E4" s="21"/>
      <c r="F4" s="1"/>
      <c r="G4" s="1"/>
      <c r="H4" s="1"/>
      <c r="I4" s="27"/>
      <c r="J4" s="1" t="s">
        <v>25</v>
      </c>
      <c r="K4" s="1" t="s">
        <v>98</v>
      </c>
      <c r="L4" s="23">
        <v>2</v>
      </c>
      <c r="M4" s="25">
        <v>1</v>
      </c>
      <c r="N4" s="16"/>
      <c r="O4" s="29" t="str" cm="1">
        <f t="array" aca="1" ref="O4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4" s="4" t="str" cm="1">
        <f t="array" aca="1" ref="P4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P5-FS-0002-01_ErosionControlPlan-Seg1.pdf</v>
      </c>
      <c r="Q4" s="4" t="str">
        <f>_xlfn.XLOOKUP(Tests[[#This Row],[Convention]], Conventions[Name],Conventions[Required Fields])</f>
        <v>Project, Submittal, Submittal ID, Title</v>
      </c>
      <c r="R4" s="4" t="str">
        <f>_xlfn.XLOOKUP(Tests[[#This Row],[Convention]], Conventions[Name],Conventions[Optional Fields])</f>
        <v>Resubmittal ID, Subtitle</v>
      </c>
      <c r="S4" s="4">
        <f ca="1">LEN(Tests[[#This Row],[Valid Name]])</f>
        <v>41</v>
      </c>
    </row>
    <row r="5" spans="1:19" x14ac:dyDescent="0.2">
      <c r="A5" s="1" t="s">
        <v>145</v>
      </c>
      <c r="B5" s="1" t="s">
        <v>135</v>
      </c>
      <c r="C5" s="1" t="s">
        <v>110</v>
      </c>
      <c r="D5" s="1"/>
      <c r="E5" s="21"/>
      <c r="F5" s="1"/>
      <c r="G5" s="1"/>
      <c r="H5" s="1"/>
      <c r="I5" s="27"/>
      <c r="J5" s="1" t="s">
        <v>25</v>
      </c>
      <c r="K5" s="1" t="s">
        <v>99</v>
      </c>
      <c r="L5" s="23">
        <v>3</v>
      </c>
      <c r="M5" s="25">
        <v>2</v>
      </c>
      <c r="N5" s="16"/>
      <c r="O5" s="29" t="str" cm="1">
        <f t="array" aca="1" ref="O5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5" s="4" t="str" cm="1">
        <f t="array" aca="1" ref="P5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P5-PD-0003-02_RdwyDsgnDoc-Seg1.pdf</v>
      </c>
      <c r="Q5" s="4" t="str">
        <f>_xlfn.XLOOKUP(Tests[[#This Row],[Convention]], Conventions[Name],Conventions[Required Fields])</f>
        <v>Project, Submittal, Submittal ID, Title</v>
      </c>
      <c r="R5" s="4" t="str">
        <f>_xlfn.XLOOKUP(Tests[[#This Row],[Convention]], Conventions[Name],Conventions[Optional Fields])</f>
        <v>Resubmittal ID, Subtitle</v>
      </c>
      <c r="S5" s="4">
        <f ca="1">LEN(Tests[[#This Row],[Valid Name]])</f>
        <v>34</v>
      </c>
    </row>
    <row r="6" spans="1:19" x14ac:dyDescent="0.2">
      <c r="A6" s="1" t="s">
        <v>234</v>
      </c>
      <c r="B6" s="1"/>
      <c r="C6" s="1" t="s">
        <v>110</v>
      </c>
      <c r="D6" s="1"/>
      <c r="E6" s="21"/>
      <c r="F6" s="1"/>
      <c r="G6" s="1"/>
      <c r="H6" s="1"/>
      <c r="I6" s="27"/>
      <c r="J6" s="1" t="s">
        <v>33</v>
      </c>
      <c r="K6" s="1" t="s">
        <v>100</v>
      </c>
      <c r="L6" s="23">
        <v>4</v>
      </c>
      <c r="M6" s="25">
        <v>3</v>
      </c>
      <c r="N6" s="16"/>
      <c r="O6" s="29" t="str" cm="1">
        <f t="array" aca="1" ref="O6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6" s="4" t="str" cm="1">
        <f t="array" aca="1" ref="P6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PA-SD-0004-03_LightpoleShopDwgs.pdf</v>
      </c>
      <c r="Q6" s="4" t="str">
        <f>_xlfn.XLOOKUP(Tests[[#This Row],[Convention]], Conventions[Name],Conventions[Required Fields])</f>
        <v>Project, Submittal, Submittal ID, Title</v>
      </c>
      <c r="R6" s="4" t="str">
        <f>_xlfn.XLOOKUP(Tests[[#This Row],[Convention]], Conventions[Name],Conventions[Optional Fields])</f>
        <v>Resubmittal ID, Subtitle</v>
      </c>
      <c r="S6" s="4">
        <f ca="1">LEN(Tests[[#This Row],[Valid Name]])</f>
        <v>35</v>
      </c>
    </row>
    <row r="7" spans="1:19" x14ac:dyDescent="0.2">
      <c r="A7" s="1" t="s">
        <v>241</v>
      </c>
      <c r="B7" s="1"/>
      <c r="C7" s="1" t="s">
        <v>110</v>
      </c>
      <c r="D7" s="1"/>
      <c r="E7" s="21"/>
      <c r="F7" s="1"/>
      <c r="G7" s="1"/>
      <c r="H7" s="1"/>
      <c r="I7" s="27"/>
      <c r="J7" s="1" t="s">
        <v>33</v>
      </c>
      <c r="K7" s="1" t="s">
        <v>101</v>
      </c>
      <c r="L7" s="23">
        <v>5</v>
      </c>
      <c r="M7" s="25">
        <v>4</v>
      </c>
      <c r="N7" s="16"/>
      <c r="O7" s="29" t="str" cm="1">
        <f t="array" aca="1" ref="O7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7" s="4" t="str" cm="1">
        <f t="array" aca="1" ref="P7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PA-CS-0005-04_TempLtgPlan.pdf</v>
      </c>
      <c r="Q7" s="4" t="str">
        <f>_xlfn.XLOOKUP(Tests[[#This Row],[Convention]], Conventions[Name],Conventions[Required Fields])</f>
        <v>Project, Submittal, Submittal ID, Title</v>
      </c>
      <c r="R7" s="4" t="str">
        <f>_xlfn.XLOOKUP(Tests[[#This Row],[Convention]], Conventions[Name],Conventions[Optional Fields])</f>
        <v>Resubmittal ID, Subtitle</v>
      </c>
      <c r="S7" s="4">
        <f ca="1">LEN(Tests[[#This Row],[Valid Name]])</f>
        <v>29</v>
      </c>
    </row>
    <row r="8" spans="1:19" x14ac:dyDescent="0.2">
      <c r="A8" s="5" t="s">
        <v>233</v>
      </c>
      <c r="B8" s="5"/>
      <c r="C8" s="5" t="s">
        <v>110</v>
      </c>
      <c r="D8" s="5"/>
      <c r="E8" s="22"/>
      <c r="F8" s="5"/>
      <c r="G8" s="5"/>
      <c r="H8" s="5"/>
      <c r="I8" s="28"/>
      <c r="J8" s="1" t="s">
        <v>33</v>
      </c>
      <c r="K8" s="5" t="s">
        <v>102</v>
      </c>
      <c r="L8" s="24">
        <v>6</v>
      </c>
      <c r="M8" s="25">
        <v>5</v>
      </c>
      <c r="N8" s="16"/>
      <c r="O8" s="29" t="str" cm="1">
        <f t="array" aca="1" ref="O8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8" s="6" t="str" cm="1">
        <f t="array" aca="1" ref="P8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PA-CR-0006-05_QMP.pdf</v>
      </c>
      <c r="Q8" s="6" t="str">
        <f>_xlfn.XLOOKUP(Tests[[#This Row],[Convention]], Conventions[Name],Conventions[Required Fields])</f>
        <v>Project, Submittal, Submittal ID, Title</v>
      </c>
      <c r="R8" s="6" t="str">
        <f>_xlfn.XLOOKUP(Tests[[#This Row],[Convention]], Conventions[Name],Conventions[Optional Fields])</f>
        <v>Resubmittal ID, Subtitle</v>
      </c>
      <c r="S8" s="4">
        <f ca="1">LEN(Tests[[#This Row],[Valid Name]])</f>
        <v>21</v>
      </c>
    </row>
    <row r="9" spans="1:19" x14ac:dyDescent="0.2">
      <c r="A9" s="1" t="s">
        <v>238</v>
      </c>
      <c r="B9" s="1" t="s">
        <v>237</v>
      </c>
      <c r="C9" s="1" t="s">
        <v>110</v>
      </c>
      <c r="D9" s="1"/>
      <c r="E9" s="21"/>
      <c r="F9" s="1"/>
      <c r="G9" s="1"/>
      <c r="H9" s="1"/>
      <c r="I9" s="27"/>
      <c r="J9" s="1" t="s">
        <v>33</v>
      </c>
      <c r="K9" s="1" t="s">
        <v>103</v>
      </c>
      <c r="L9" s="23">
        <v>7</v>
      </c>
      <c r="M9" s="25">
        <v>6</v>
      </c>
      <c r="N9" s="16"/>
      <c r="O9" s="29" t="str" cm="1">
        <f t="array" aca="1" ref="O9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9" s="4" t="str" cm="1">
        <f t="array" aca="1" ref="P9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PA-FCR-0007-06_MSEStrapConnection-BackwallRepair.pdf</v>
      </c>
      <c r="Q9" s="4" t="str">
        <f>_xlfn.XLOOKUP(Tests[[#This Row],[Convention]], Conventions[Name],Conventions[Required Fields])</f>
        <v>Project, Submittal, Submittal ID, Title</v>
      </c>
      <c r="R9" s="4" t="str">
        <f>_xlfn.XLOOKUP(Tests[[#This Row],[Convention]], Conventions[Name],Conventions[Optional Fields])</f>
        <v>Resubmittal ID, Subtitle</v>
      </c>
      <c r="S9" s="4">
        <f ca="1">LEN(Tests[[#This Row],[Valid Name]])</f>
        <v>52</v>
      </c>
    </row>
    <row r="10" spans="1:19" x14ac:dyDescent="0.2">
      <c r="A10" s="1" t="s">
        <v>239</v>
      </c>
      <c r="B10" s="1"/>
      <c r="C10" s="1" t="s">
        <v>110</v>
      </c>
      <c r="D10" s="1"/>
      <c r="E10" s="21"/>
      <c r="F10" s="1"/>
      <c r="G10" s="1"/>
      <c r="H10" s="1"/>
      <c r="I10" s="27"/>
      <c r="J10" s="1" t="s">
        <v>33</v>
      </c>
      <c r="K10" s="1" t="s">
        <v>104</v>
      </c>
      <c r="L10" s="23">
        <v>8</v>
      </c>
      <c r="M10" s="25">
        <v>7</v>
      </c>
      <c r="N10" s="16"/>
      <c r="O10" s="29" t="str" cm="1">
        <f t="array" aca="1" ref="O10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10" s="4" t="str" cm="1">
        <f t="array" aca="1" ref="P10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PA-RFI-0008-07_ConduitRoutingForITSMOC.pdf</v>
      </c>
      <c r="Q10" s="4" t="str">
        <f>_xlfn.XLOOKUP(Tests[[#This Row],[Convention]], Conventions[Name],Conventions[Required Fields])</f>
        <v>Project, Submittal, Submittal ID, Title</v>
      </c>
      <c r="R10" s="4" t="str">
        <f>_xlfn.XLOOKUP(Tests[[#This Row],[Convention]], Conventions[Name],Conventions[Optional Fields])</f>
        <v>Resubmittal ID, Subtitle</v>
      </c>
      <c r="S10" s="4">
        <f ca="1">LEN(Tests[[#This Row],[Valid Name]])</f>
        <v>42</v>
      </c>
    </row>
    <row r="11" spans="1:19" x14ac:dyDescent="0.2">
      <c r="A11" s="1" t="s">
        <v>240</v>
      </c>
      <c r="B11" s="1"/>
      <c r="C11" s="1" t="s">
        <v>110</v>
      </c>
      <c r="D11" s="1"/>
      <c r="E11" s="21"/>
      <c r="F11" s="1"/>
      <c r="G11" s="1"/>
      <c r="H11" s="1"/>
      <c r="I11" s="27"/>
      <c r="J11" s="1" t="s">
        <v>33</v>
      </c>
      <c r="K11" s="1" t="s">
        <v>105</v>
      </c>
      <c r="L11" s="23">
        <v>9</v>
      </c>
      <c r="M11" s="25">
        <v>8</v>
      </c>
      <c r="N11" s="16"/>
      <c r="O11" s="29" t="str" cm="1">
        <f t="array" aca="1" ref="O11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11" s="4" t="str" cm="1">
        <f t="array" aca="1" ref="P11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PA-RFM-0009-08_BarrierReinforcingDowel.pdf</v>
      </c>
      <c r="Q11" s="4" t="str">
        <f>_xlfn.XLOOKUP(Tests[[#This Row],[Convention]], Conventions[Name],Conventions[Required Fields])</f>
        <v>Project, Submittal, Submittal ID, Title</v>
      </c>
      <c r="R11" s="4" t="str">
        <f>_xlfn.XLOOKUP(Tests[[#This Row],[Convention]], Conventions[Name],Conventions[Optional Fields])</f>
        <v>Resubmittal ID, Subtitle</v>
      </c>
      <c r="S11" s="4">
        <f ca="1">LEN(Tests[[#This Row],[Valid Name]])</f>
        <v>42</v>
      </c>
    </row>
    <row r="12" spans="1:19" x14ac:dyDescent="0.2">
      <c r="A12" s="1" t="s">
        <v>1</v>
      </c>
      <c r="B12" s="1"/>
      <c r="C12" s="1" t="s">
        <v>427</v>
      </c>
      <c r="D12" s="1" t="s">
        <v>51</v>
      </c>
      <c r="E12" s="21"/>
      <c r="F12" s="1"/>
      <c r="G12" s="1"/>
      <c r="H12" s="1"/>
      <c r="I12" s="27"/>
      <c r="J12" s="1"/>
      <c r="K12" s="1"/>
      <c r="L12" s="23"/>
      <c r="M12" s="25"/>
      <c r="N12" s="16"/>
      <c r="O12" s="29" t="str" cm="1">
        <f t="array" aca="1" ref="O12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12" s="4" t="str" cm="1">
        <f t="array" aca="1" ref="P12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201210-9_Advertisement.pdf</v>
      </c>
      <c r="Q12" s="4" t="str">
        <f>_xlfn.XLOOKUP(Tests[[#This Row],[Convention]], Conventions[Name],Conventions[Required Fields])</f>
        <v>FPID, Title</v>
      </c>
      <c r="R12" s="4" t="str">
        <f>_xlfn.XLOOKUP(Tests[[#This Row],[Convention]], Conventions[Name],Conventions[Optional Fields])</f>
        <v>Subtitle</v>
      </c>
      <c r="S12" s="4">
        <f ca="1">LEN(Tests[[#This Row],[Valid Name]])</f>
        <v>26</v>
      </c>
    </row>
    <row r="13" spans="1:19" x14ac:dyDescent="0.2">
      <c r="A13" s="1" t="s">
        <v>128</v>
      </c>
      <c r="B13" s="1"/>
      <c r="C13" s="1" t="s">
        <v>427</v>
      </c>
      <c r="D13" s="1" t="s">
        <v>51</v>
      </c>
      <c r="E13" s="21"/>
      <c r="F13" s="1"/>
      <c r="G13" s="1"/>
      <c r="H13" s="1"/>
      <c r="I13" s="27"/>
      <c r="J13" s="1"/>
      <c r="K13" s="1"/>
      <c r="L13" s="23"/>
      <c r="M13" s="25"/>
      <c r="N13" s="16"/>
      <c r="O13" s="29" t="str" cm="1">
        <f t="array" aca="1" ref="O13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13" s="4" t="str" cm="1">
        <f t="array" aca="1" ref="P13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201210-9_DivisionISpecs.pdf</v>
      </c>
      <c r="Q13" s="4" t="str">
        <f>_xlfn.XLOOKUP(Tests[[#This Row],[Convention]], Conventions[Name],Conventions[Required Fields])</f>
        <v>FPID, Title</v>
      </c>
      <c r="R13" s="4" t="str">
        <f>_xlfn.XLOOKUP(Tests[[#This Row],[Convention]], Conventions[Name],Conventions[Optional Fields])</f>
        <v>Subtitle</v>
      </c>
      <c r="S13" s="4">
        <f ca="1">LEN(Tests[[#This Row],[Valid Name]])</f>
        <v>27</v>
      </c>
    </row>
    <row r="14" spans="1:19" x14ac:dyDescent="0.2">
      <c r="A14" s="1" t="s">
        <v>2</v>
      </c>
      <c r="B14" s="1"/>
      <c r="C14" s="1" t="s">
        <v>427</v>
      </c>
      <c r="D14" s="1" t="s">
        <v>51</v>
      </c>
      <c r="E14" s="21"/>
      <c r="F14" s="1"/>
      <c r="G14" s="1"/>
      <c r="H14" s="1"/>
      <c r="I14" s="27"/>
      <c r="J14" s="1"/>
      <c r="K14" s="1"/>
      <c r="L14" s="23"/>
      <c r="M14" s="25"/>
      <c r="N14" s="16"/>
      <c r="O14" s="29" t="str" cm="1">
        <f t="array" aca="1" ref="O14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14" s="4" t="str" cm="1">
        <f t="array" aca="1" ref="P14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201210-9_DivisionIIAndIIISpecs.pdf</v>
      </c>
      <c r="Q14" s="4" t="str">
        <f>_xlfn.XLOOKUP(Tests[[#This Row],[Convention]], Conventions[Name],Conventions[Required Fields])</f>
        <v>FPID, Title</v>
      </c>
      <c r="R14" s="4" t="str">
        <f>_xlfn.XLOOKUP(Tests[[#This Row],[Convention]], Conventions[Name],Conventions[Optional Fields])</f>
        <v>Subtitle</v>
      </c>
      <c r="S14" s="4">
        <f ca="1">LEN(Tests[[#This Row],[Valid Name]])</f>
        <v>34</v>
      </c>
    </row>
    <row r="15" spans="1:19" x14ac:dyDescent="0.2">
      <c r="A15" s="1" t="s">
        <v>3</v>
      </c>
      <c r="B15" s="1"/>
      <c r="C15" s="1" t="s">
        <v>476</v>
      </c>
      <c r="D15" s="1"/>
      <c r="E15" s="21">
        <v>2012103</v>
      </c>
      <c r="F15" s="1"/>
      <c r="G15" s="1"/>
      <c r="H15" s="1"/>
      <c r="I15" s="27"/>
      <c r="J15" s="1"/>
      <c r="K15" s="1"/>
      <c r="L15" s="23"/>
      <c r="M15" s="25"/>
      <c r="N15" s="16"/>
      <c r="O15" s="29" t="str" cm="1">
        <f t="array" aca="1" ref="O15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15" s="4" t="str" cm="1">
        <f t="array" aca="1" ref="P15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201210-3_NEPADocs.pdf</v>
      </c>
      <c r="Q15" s="4" t="str">
        <f>_xlfn.XLOOKUP(Tests[[#This Row],[Convention]], Conventions[Name],Conventions[Required Fields])</f>
        <v>External FPID, Title</v>
      </c>
      <c r="R15" s="4" t="str">
        <f>_xlfn.XLOOKUP(Tests[[#This Row],[Convention]], Conventions[Name],Conventions[Optional Fields])</f>
        <v>Subtitle</v>
      </c>
      <c r="S15" s="4">
        <f ca="1">LEN(Tests[[#This Row],[Valid Name]])</f>
        <v>21</v>
      </c>
    </row>
    <row r="16" spans="1:19" x14ac:dyDescent="0.2">
      <c r="A16" s="1" t="s">
        <v>385</v>
      </c>
      <c r="B16" s="1"/>
      <c r="C16" s="1" t="s">
        <v>427</v>
      </c>
      <c r="D16" s="1" t="s">
        <v>51</v>
      </c>
      <c r="E16" s="21"/>
      <c r="F16" s="1"/>
      <c r="G16" s="1"/>
      <c r="H16" s="1"/>
      <c r="I16" s="27"/>
      <c r="J16" s="1"/>
      <c r="K16" s="1"/>
      <c r="L16" s="23"/>
      <c r="M16" s="25"/>
      <c r="N16" s="16"/>
      <c r="O16" s="29" t="str" cm="1">
        <f t="array" aca="1" ref="O16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16" s="4" t="str" cm="1">
        <f t="array" aca="1" ref="P16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201210-9_ProjectCommitmentRpt.pdf</v>
      </c>
      <c r="Q16" s="4" t="str">
        <f>_xlfn.XLOOKUP(Tests[[#This Row],[Convention]], Conventions[Name],Conventions[Required Fields])</f>
        <v>FPID, Title</v>
      </c>
      <c r="R16" s="4" t="str">
        <f>_xlfn.XLOOKUP(Tests[[#This Row],[Convention]], Conventions[Name],Conventions[Optional Fields])</f>
        <v>Subtitle</v>
      </c>
      <c r="S16" s="4">
        <f ca="1">LEN(Tests[[#This Row],[Valid Name]])</f>
        <v>33</v>
      </c>
    </row>
    <row r="17" spans="1:19" x14ac:dyDescent="0.2">
      <c r="A17" s="5" t="s">
        <v>386</v>
      </c>
      <c r="B17" s="5"/>
      <c r="C17" s="1" t="s">
        <v>427</v>
      </c>
      <c r="D17" s="1" t="s">
        <v>51</v>
      </c>
      <c r="E17" s="21"/>
      <c r="F17" s="1"/>
      <c r="G17" s="1"/>
      <c r="H17" s="1"/>
      <c r="I17" s="27"/>
      <c r="J17" s="5"/>
      <c r="K17" s="5"/>
      <c r="L17" s="24"/>
      <c r="M17" s="25"/>
      <c r="N17" s="16"/>
      <c r="O17" s="29" t="str" cm="1">
        <f t="array" aca="1" ref="O17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17" s="6" t="str" cm="1">
        <f t="array" aca="1" ref="P17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201210-9_ROWMap.pdf</v>
      </c>
      <c r="Q17" s="6" t="str">
        <f>_xlfn.XLOOKUP(Tests[[#This Row],[Convention]], Conventions[Name],Conventions[Required Fields])</f>
        <v>FPID, Title</v>
      </c>
      <c r="R17" s="6" t="str">
        <f>_xlfn.XLOOKUP(Tests[[#This Row],[Convention]], Conventions[Name],Conventions[Optional Fields])</f>
        <v>Subtitle</v>
      </c>
      <c r="S17" s="4">
        <f ca="1">LEN(Tests[[#This Row],[Valid Name]])</f>
        <v>19</v>
      </c>
    </row>
    <row r="18" spans="1:19" x14ac:dyDescent="0.2">
      <c r="A18" s="5" t="s">
        <v>124</v>
      </c>
      <c r="B18" s="5"/>
      <c r="C18" s="1" t="s">
        <v>427</v>
      </c>
      <c r="D18" s="5" t="s">
        <v>51</v>
      </c>
      <c r="E18" s="22"/>
      <c r="F18" s="5"/>
      <c r="G18" s="5"/>
      <c r="H18" s="5"/>
      <c r="I18" s="28"/>
      <c r="J18" s="5"/>
      <c r="K18" s="5"/>
      <c r="L18" s="24"/>
      <c r="M18" s="25"/>
      <c r="N18" s="16"/>
      <c r="O18" s="29" t="str" cm="1">
        <f t="array" aca="1" ref="O18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18" s="6" t="str" cm="1">
        <f t="array" aca="1" ref="P18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201210-9_BridgeLoadRatingRpt.pdf</v>
      </c>
      <c r="Q18" s="8" t="str">
        <f>_xlfn.XLOOKUP(Tests[[#This Row],[Convention]], Conventions[Name],Conventions[Required Fields])</f>
        <v>FPID, Title</v>
      </c>
      <c r="R18" s="14" t="str">
        <f>_xlfn.XLOOKUP(Tests[[#This Row],[Convention]], Conventions[Name],Conventions[Optional Fields])</f>
        <v>Subtitle</v>
      </c>
      <c r="S18" s="4">
        <f ca="1">LEN(Tests[[#This Row],[Valid Name]])</f>
        <v>32</v>
      </c>
    </row>
    <row r="19" spans="1:19" x14ac:dyDescent="0.2">
      <c r="A19" s="1" t="s">
        <v>127</v>
      </c>
      <c r="B19" s="1"/>
      <c r="C19" s="1" t="s">
        <v>427</v>
      </c>
      <c r="D19" s="1" t="s">
        <v>51</v>
      </c>
      <c r="E19" s="21"/>
      <c r="F19" s="1"/>
      <c r="G19" s="1"/>
      <c r="H19" s="1"/>
      <c r="I19" s="27"/>
      <c r="J19" s="1"/>
      <c r="K19" s="1"/>
      <c r="L19" s="23"/>
      <c r="M19" s="25"/>
      <c r="N19" s="16"/>
      <c r="O19" s="29" t="str" cm="1">
        <f t="array" aca="1" ref="O19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19" s="4" t="str" cm="1">
        <f t="array" aca="1" ref="P19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201210-9_BridgeInspRpt.pdf</v>
      </c>
      <c r="Q19" s="7" t="str">
        <f>_xlfn.XLOOKUP(Tests[[#This Row],[Convention]], Conventions[Name],Conventions[Required Fields])</f>
        <v>FPID, Title</v>
      </c>
      <c r="R19" s="15" t="str">
        <f>_xlfn.XLOOKUP(Tests[[#This Row],[Convention]], Conventions[Name],Conventions[Optional Fields])</f>
        <v>Subtitle</v>
      </c>
      <c r="S19" s="4">
        <f ca="1">LEN(Tests[[#This Row],[Valid Name]])</f>
        <v>26</v>
      </c>
    </row>
    <row r="20" spans="1:19" x14ac:dyDescent="0.2">
      <c r="A20" s="1" t="s">
        <v>4</v>
      </c>
      <c r="B20" s="1"/>
      <c r="C20" s="1" t="s">
        <v>427</v>
      </c>
      <c r="D20" s="1" t="s">
        <v>51</v>
      </c>
      <c r="E20" s="21"/>
      <c r="F20" s="1"/>
      <c r="G20" s="1"/>
      <c r="H20" s="1"/>
      <c r="I20" s="27"/>
      <c r="J20" s="1"/>
      <c r="K20" s="1"/>
      <c r="L20" s="23"/>
      <c r="M20" s="25"/>
      <c r="N20" s="16"/>
      <c r="O20" s="29" t="str" cm="1">
        <f t="array" aca="1" ref="O20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20" s="4" t="str" cm="1">
        <f t="array" aca="1" ref="P20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201210-9_FTEShopDwgProcess.pdf</v>
      </c>
      <c r="Q20" s="7" t="str">
        <f>_xlfn.XLOOKUP(Tests[[#This Row],[Convention]], Conventions[Name],Conventions[Required Fields])</f>
        <v>FPID, Title</v>
      </c>
      <c r="R20" s="15" t="str">
        <f>_xlfn.XLOOKUP(Tests[[#This Row],[Convention]], Conventions[Name],Conventions[Optional Fields])</f>
        <v>Subtitle</v>
      </c>
      <c r="S20" s="4">
        <f ca="1">LEN(Tests[[#This Row],[Valid Name]])</f>
        <v>30</v>
      </c>
    </row>
    <row r="21" spans="1:19" x14ac:dyDescent="0.2">
      <c r="A21" s="1" t="s">
        <v>125</v>
      </c>
      <c r="B21" s="1"/>
      <c r="C21" s="1" t="s">
        <v>427</v>
      </c>
      <c r="D21" s="1" t="s">
        <v>51</v>
      </c>
      <c r="E21" s="21"/>
      <c r="F21" s="1"/>
      <c r="G21" s="1"/>
      <c r="H21" s="1"/>
      <c r="I21" s="27"/>
      <c r="J21" s="1"/>
      <c r="K21" s="1"/>
      <c r="L21" s="23"/>
      <c r="M21" s="25"/>
      <c r="N21" s="16"/>
      <c r="O21" s="29" t="str" cm="1">
        <f t="array" aca="1" ref="O21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21" s="4" t="str" cm="1">
        <f t="array" aca="1" ref="P21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201210-9_HardscapeAestheticReqs.pdf</v>
      </c>
      <c r="Q21" s="7" t="str">
        <f>_xlfn.XLOOKUP(Tests[[#This Row],[Convention]], Conventions[Name],Conventions[Required Fields])</f>
        <v>FPID, Title</v>
      </c>
      <c r="R21" s="15" t="str">
        <f>_xlfn.XLOOKUP(Tests[[#This Row],[Convention]], Conventions[Name],Conventions[Optional Fields])</f>
        <v>Subtitle</v>
      </c>
      <c r="S21" s="4">
        <f ca="1">LEN(Tests[[#This Row],[Valid Name]])</f>
        <v>35</v>
      </c>
    </row>
    <row r="22" spans="1:19" x14ac:dyDescent="0.2">
      <c r="A22" s="1" t="s">
        <v>387</v>
      </c>
      <c r="B22" s="1"/>
      <c r="C22" s="1" t="s">
        <v>427</v>
      </c>
      <c r="D22" s="1" t="s">
        <v>51</v>
      </c>
      <c r="E22" s="21"/>
      <c r="F22" s="1"/>
      <c r="G22" s="1"/>
      <c r="H22" s="1"/>
      <c r="I22" s="27"/>
      <c r="J22" s="1"/>
      <c r="K22" s="1"/>
      <c r="L22" s="23"/>
      <c r="M22" s="25"/>
      <c r="N22" s="16"/>
      <c r="O22" s="29" t="str" cm="1">
        <f t="array" aca="1" ref="O22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22" s="4" t="str" cm="1">
        <f t="array" aca="1" ref="P22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201210-9_SmartWorkZoneReqs.pdf</v>
      </c>
      <c r="Q22" s="7" t="str">
        <f>_xlfn.XLOOKUP(Tests[[#This Row],[Convention]], Conventions[Name],Conventions[Required Fields])</f>
        <v>FPID, Title</v>
      </c>
      <c r="R22" s="15" t="str">
        <f>_xlfn.XLOOKUP(Tests[[#This Row],[Convention]], Conventions[Name],Conventions[Optional Fields])</f>
        <v>Subtitle</v>
      </c>
      <c r="S22" s="4">
        <f ca="1">LEN(Tests[[#This Row],[Valid Name]])</f>
        <v>30</v>
      </c>
    </row>
    <row r="23" spans="1:19" x14ac:dyDescent="0.2">
      <c r="A23" s="1" t="s">
        <v>126</v>
      </c>
      <c r="B23" s="1" t="s">
        <v>131</v>
      </c>
      <c r="C23" s="1" t="s">
        <v>427</v>
      </c>
      <c r="D23" s="1" t="s">
        <v>51</v>
      </c>
      <c r="E23" s="21"/>
      <c r="F23" s="1"/>
      <c r="G23" s="1"/>
      <c r="H23" s="1"/>
      <c r="I23" s="27"/>
      <c r="J23" s="1"/>
      <c r="K23" s="1"/>
      <c r="L23" s="23"/>
      <c r="M23" s="25"/>
      <c r="N23" s="16"/>
      <c r="O23" s="29" t="str" cm="1">
        <f t="array" aca="1" ref="O23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23" s="4" t="str" cm="1">
        <f t="array" aca="1" ref="P23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201210-9_ITSMinReqs-D1.pdf</v>
      </c>
      <c r="Q23" s="7" t="str">
        <f>_xlfn.XLOOKUP(Tests[[#This Row],[Convention]], Conventions[Name],Conventions[Required Fields])</f>
        <v>FPID, Title</v>
      </c>
      <c r="R23" s="15" t="str">
        <f>_xlfn.XLOOKUP(Tests[[#This Row],[Convention]], Conventions[Name],Conventions[Optional Fields])</f>
        <v>Subtitle</v>
      </c>
      <c r="S23" s="4">
        <f ca="1">LEN(Tests[[#This Row],[Valid Name]])</f>
        <v>26</v>
      </c>
    </row>
    <row r="24" spans="1:19" x14ac:dyDescent="0.2">
      <c r="A24" s="1" t="s">
        <v>126</v>
      </c>
      <c r="B24" s="1" t="s">
        <v>132</v>
      </c>
      <c r="C24" s="1" t="s">
        <v>427</v>
      </c>
      <c r="D24" s="1" t="s">
        <v>51</v>
      </c>
      <c r="E24" s="21"/>
      <c r="F24" s="1"/>
      <c r="G24" s="1"/>
      <c r="H24" s="1"/>
      <c r="I24" s="27"/>
      <c r="J24" s="1"/>
      <c r="K24" s="1"/>
      <c r="L24" s="23"/>
      <c r="M24" s="25"/>
      <c r="N24" s="16"/>
      <c r="O24" s="29" t="str" cm="1">
        <f t="array" aca="1" ref="O24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24" s="4" t="str" cm="1">
        <f t="array" aca="1" ref="P24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201210-9_ITSMinReqs-FTE.pdf</v>
      </c>
      <c r="Q24" s="7" t="str">
        <f>_xlfn.XLOOKUP(Tests[[#This Row],[Convention]], Conventions[Name],Conventions[Required Fields])</f>
        <v>FPID, Title</v>
      </c>
      <c r="R24" s="15" t="str">
        <f>_xlfn.XLOOKUP(Tests[[#This Row],[Convention]], Conventions[Name],Conventions[Optional Fields])</f>
        <v>Subtitle</v>
      </c>
      <c r="S24" s="4">
        <f ca="1">LEN(Tests[[#This Row],[Valid Name]])</f>
        <v>27</v>
      </c>
    </row>
    <row r="25" spans="1:19" x14ac:dyDescent="0.2">
      <c r="A25" s="1" t="s">
        <v>129</v>
      </c>
      <c r="B25" s="1"/>
      <c r="C25" s="1" t="s">
        <v>427</v>
      </c>
      <c r="D25" s="1" t="s">
        <v>51</v>
      </c>
      <c r="E25" s="21"/>
      <c r="F25" s="1"/>
      <c r="G25" s="1"/>
      <c r="H25" s="1"/>
      <c r="I25" s="27"/>
      <c r="J25" s="1"/>
      <c r="K25" s="1"/>
      <c r="L25" s="23"/>
      <c r="M25" s="25"/>
      <c r="N25" s="16"/>
      <c r="O25" s="29" t="str" cm="1">
        <f t="array" aca="1" ref="O25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25" s="4" t="str" cm="1">
        <f t="array" aca="1" ref="P25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201210-9_TypSectionPkg.pdf</v>
      </c>
      <c r="Q25" s="7" t="str">
        <f>_xlfn.XLOOKUP(Tests[[#This Row],[Convention]], Conventions[Name],Conventions[Required Fields])</f>
        <v>FPID, Title</v>
      </c>
      <c r="R25" s="15" t="str">
        <f>_xlfn.XLOOKUP(Tests[[#This Row],[Convention]], Conventions[Name],Conventions[Optional Fields])</f>
        <v>Subtitle</v>
      </c>
      <c r="S25" s="4">
        <f ca="1">LEN(Tests[[#This Row],[Valid Name]])</f>
        <v>26</v>
      </c>
    </row>
    <row r="26" spans="1:19" x14ac:dyDescent="0.2">
      <c r="A26" s="1" t="s">
        <v>383</v>
      </c>
      <c r="B26" s="1"/>
      <c r="C26" s="1" t="s">
        <v>427</v>
      </c>
      <c r="D26" s="1" t="s">
        <v>51</v>
      </c>
      <c r="E26" s="21"/>
      <c r="F26" s="1"/>
      <c r="G26" s="1"/>
      <c r="H26" s="1"/>
      <c r="I26" s="27"/>
      <c r="J26" s="1"/>
      <c r="K26" s="1"/>
      <c r="L26" s="23"/>
      <c r="M26" s="25"/>
      <c r="N26" s="16"/>
      <c r="O26" s="29" t="str" cm="1">
        <f t="array" aca="1" ref="O26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26" s="4" t="str" cm="1">
        <f t="array" aca="1" ref="P26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201210-9_PvmtDsgnPkg.pdf</v>
      </c>
      <c r="Q26" s="7" t="str">
        <f>_xlfn.XLOOKUP(Tests[[#This Row],[Convention]], Conventions[Name],Conventions[Required Fields])</f>
        <v>FPID, Title</v>
      </c>
      <c r="R26" s="15" t="str">
        <f>_xlfn.XLOOKUP(Tests[[#This Row],[Convention]], Conventions[Name],Conventions[Optional Fields])</f>
        <v>Subtitle</v>
      </c>
      <c r="S26" s="4">
        <f ca="1">LEN(Tests[[#This Row],[Valid Name]])</f>
        <v>24</v>
      </c>
    </row>
    <row r="27" spans="1:19" x14ac:dyDescent="0.2">
      <c r="A27" s="1" t="s">
        <v>281</v>
      </c>
      <c r="B27" s="1" t="s">
        <v>158</v>
      </c>
      <c r="C27" s="1" t="s">
        <v>427</v>
      </c>
      <c r="D27" s="1" t="s">
        <v>51</v>
      </c>
      <c r="E27" s="21"/>
      <c r="F27" s="1"/>
      <c r="G27" s="1"/>
      <c r="H27" s="1"/>
      <c r="I27" s="27"/>
      <c r="J27" s="1"/>
      <c r="K27" s="1"/>
      <c r="L27" s="23"/>
      <c r="M27" s="25"/>
      <c r="N27" s="16"/>
      <c r="O27" s="29" t="str" cm="1">
        <f t="array" aca="1" ref="O27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27" s="4" t="str" cm="1">
        <f t="array" aca="1" ref="P27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201210-9_DsgnVariationPkg-ELShldrWidth.pdf</v>
      </c>
      <c r="Q27" s="7" t="str">
        <f>_xlfn.XLOOKUP(Tests[[#This Row],[Convention]], Conventions[Name],Conventions[Required Fields])</f>
        <v>FPID, Title</v>
      </c>
      <c r="R27" s="15" t="str">
        <f>_xlfn.XLOOKUP(Tests[[#This Row],[Convention]], Conventions[Name],Conventions[Optional Fields])</f>
        <v>Subtitle</v>
      </c>
      <c r="S27" s="4">
        <f ca="1">LEN(Tests[[#This Row],[Valid Name]])</f>
        <v>42</v>
      </c>
    </row>
    <row r="28" spans="1:19" x14ac:dyDescent="0.2">
      <c r="A28" s="1" t="s">
        <v>159</v>
      </c>
      <c r="B28" s="1" t="s">
        <v>160</v>
      </c>
      <c r="C28" s="1" t="s">
        <v>427</v>
      </c>
      <c r="D28" s="1" t="s">
        <v>51</v>
      </c>
      <c r="E28" s="21"/>
      <c r="F28" s="1"/>
      <c r="G28" s="1"/>
      <c r="H28" s="1"/>
      <c r="I28" s="27"/>
      <c r="J28" s="1"/>
      <c r="K28" s="1"/>
      <c r="L28" s="23"/>
      <c r="M28" s="25"/>
      <c r="N28" s="16"/>
      <c r="O28" s="29" t="str" cm="1">
        <f t="array" aca="1" ref="O28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28" s="4" t="str" cm="1">
        <f t="array" aca="1" ref="P28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201210-9_DsgnVariationMemo-BorderWidth.pdf</v>
      </c>
      <c r="Q28" s="7" t="str">
        <f>_xlfn.XLOOKUP(Tests[[#This Row],[Convention]], Conventions[Name],Conventions[Required Fields])</f>
        <v>FPID, Title</v>
      </c>
      <c r="R28" s="15" t="str">
        <f>_xlfn.XLOOKUP(Tests[[#This Row],[Convention]], Conventions[Name],Conventions[Optional Fields])</f>
        <v>Subtitle</v>
      </c>
      <c r="S28" s="4">
        <f ca="1">LEN(Tests[[#This Row],[Valid Name]])</f>
        <v>42</v>
      </c>
    </row>
    <row r="29" spans="1:19" x14ac:dyDescent="0.2">
      <c r="A29" s="1" t="s">
        <v>159</v>
      </c>
      <c r="B29" s="1" t="s">
        <v>161</v>
      </c>
      <c r="C29" s="1" t="s">
        <v>427</v>
      </c>
      <c r="D29" s="1" t="s">
        <v>51</v>
      </c>
      <c r="E29" s="21"/>
      <c r="F29" s="1"/>
      <c r="G29" s="1"/>
      <c r="H29" s="1"/>
      <c r="I29" s="27"/>
      <c r="J29" s="1"/>
      <c r="K29" s="1"/>
      <c r="L29" s="23"/>
      <c r="M29" s="25"/>
      <c r="N29" s="16"/>
      <c r="O29" s="29" t="str" cm="1">
        <f t="array" aca="1" ref="O29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29" s="4" t="str" cm="1">
        <f t="array" aca="1" ref="P29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201210-9_DsgnVariationMemo-CurveLength.pdf</v>
      </c>
      <c r="Q29" s="7" t="str">
        <f>_xlfn.XLOOKUP(Tests[[#This Row],[Convention]], Conventions[Name],Conventions[Required Fields])</f>
        <v>FPID, Title</v>
      </c>
      <c r="R29" s="15" t="str">
        <f>_xlfn.XLOOKUP(Tests[[#This Row],[Convention]], Conventions[Name],Conventions[Optional Fields])</f>
        <v>Subtitle</v>
      </c>
      <c r="S29" s="4">
        <f ca="1">LEN(Tests[[#This Row],[Valid Name]])</f>
        <v>42</v>
      </c>
    </row>
    <row r="30" spans="1:19" x14ac:dyDescent="0.2">
      <c r="A30" s="1" t="s">
        <v>159</v>
      </c>
      <c r="B30" s="1" t="s">
        <v>162</v>
      </c>
      <c r="C30" s="1" t="s">
        <v>427</v>
      </c>
      <c r="D30" s="1" t="s">
        <v>51</v>
      </c>
      <c r="E30" s="21"/>
      <c r="F30" s="1"/>
      <c r="G30" s="1"/>
      <c r="H30" s="1"/>
      <c r="I30" s="27"/>
      <c r="J30" s="1"/>
      <c r="K30" s="1"/>
      <c r="L30" s="23"/>
      <c r="M30" s="25"/>
      <c r="N30" s="16"/>
      <c r="O30" s="29" t="str" cm="1">
        <f t="array" aca="1" ref="O30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30" s="4" t="str" cm="1">
        <f t="array" aca="1" ref="P30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201210-9_DsgnVariationMemo-LaneCrossSlope.pdf</v>
      </c>
      <c r="Q30" s="7" t="str">
        <f>_xlfn.XLOOKUP(Tests[[#This Row],[Convention]], Conventions[Name],Conventions[Required Fields])</f>
        <v>FPID, Title</v>
      </c>
      <c r="R30" s="15" t="str">
        <f>_xlfn.XLOOKUP(Tests[[#This Row],[Convention]], Conventions[Name],Conventions[Optional Fields])</f>
        <v>Subtitle</v>
      </c>
      <c r="S30" s="4">
        <f ca="1">LEN(Tests[[#This Row],[Valid Name]])</f>
        <v>45</v>
      </c>
    </row>
    <row r="31" spans="1:19" x14ac:dyDescent="0.2">
      <c r="A31" s="1" t="s">
        <v>384</v>
      </c>
      <c r="B31" s="1"/>
      <c r="C31" s="1" t="s">
        <v>427</v>
      </c>
      <c r="D31" s="1" t="s">
        <v>51</v>
      </c>
      <c r="E31" s="21"/>
      <c r="F31" s="1"/>
      <c r="G31" s="1"/>
      <c r="H31" s="1"/>
      <c r="I31" s="27"/>
      <c r="J31" s="1"/>
      <c r="K31" s="1"/>
      <c r="L31" s="23"/>
      <c r="M31" s="25"/>
      <c r="N31" s="16"/>
      <c r="O31" s="29" t="str" cm="1">
        <f t="array" aca="1" ref="O31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31" s="4" t="str" cm="1">
        <f t="array" aca="1" ref="P31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201210-9_HorizontalAlgnPkg.pdf</v>
      </c>
      <c r="Q31" s="7" t="str">
        <f>_xlfn.XLOOKUP(Tests[[#This Row],[Convention]], Conventions[Name],Conventions[Required Fields])</f>
        <v>FPID, Title</v>
      </c>
      <c r="R31" s="15" t="str">
        <f>_xlfn.XLOOKUP(Tests[[#This Row],[Convention]], Conventions[Name],Conventions[Optional Fields])</f>
        <v>Subtitle</v>
      </c>
      <c r="S31" s="4">
        <f ca="1">LEN(Tests[[#This Row],[Valid Name]])</f>
        <v>30</v>
      </c>
    </row>
    <row r="32" spans="1:19" x14ac:dyDescent="0.2">
      <c r="A32" s="1" t="s">
        <v>13</v>
      </c>
      <c r="B32" s="1"/>
      <c r="C32" s="1" t="s">
        <v>250</v>
      </c>
      <c r="D32" s="1" t="s">
        <v>51</v>
      </c>
      <c r="E32" s="21"/>
      <c r="F32" s="1" t="s">
        <v>254</v>
      </c>
      <c r="G32" s="1"/>
      <c r="H32" s="1"/>
      <c r="I32" s="27"/>
      <c r="J32" s="1"/>
      <c r="K32" s="1"/>
      <c r="L32" s="23"/>
      <c r="M32" s="25"/>
      <c r="N32" s="16"/>
      <c r="O32" s="29" t="str" cm="1">
        <f t="array" aca="1" ref="O32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32" s="4" t="str" cm="1">
        <f t="array" aca="1" ref="P32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20121095201-PLANS-02-SIGNINGMARKING.pdf</v>
      </c>
      <c r="Q32" s="7" t="str">
        <f>_xlfn.XLOOKUP(Tests[[#This Row],[Convention]], Conventions[Name],Conventions[Required Fields])</f>
        <v>FPID, Deliverable</v>
      </c>
      <c r="R32" s="15" t="str">
        <f>_xlfn.XLOOKUP(Tests[[#This Row],[Convention]], Conventions[Name],Conventions[Optional Fields])</f>
        <v>Revision ID</v>
      </c>
      <c r="S32" s="4">
        <f ca="1">LEN(Tests[[#This Row],[Valid Name]])</f>
        <v>39</v>
      </c>
    </row>
    <row r="33" spans="1:19" x14ac:dyDescent="0.2">
      <c r="A33" s="1" t="s">
        <v>344</v>
      </c>
      <c r="B33" s="1"/>
      <c r="C33" s="1" t="s">
        <v>427</v>
      </c>
      <c r="D33" s="1" t="s">
        <v>51</v>
      </c>
      <c r="E33" s="21"/>
      <c r="F33" s="1"/>
      <c r="G33" s="1"/>
      <c r="H33" s="1"/>
      <c r="I33" s="27"/>
      <c r="J33" s="1"/>
      <c r="K33" s="1"/>
      <c r="L33" s="23"/>
      <c r="M33" s="25"/>
      <c r="N33" s="16"/>
      <c r="O33" s="29" t="str" cm="1">
        <f t="array" aca="1" ref="O33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33" s="4" t="str" cm="1">
        <f t="array" aca="1" ref="P33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201210-9_TollSitingTechMemo.pdf</v>
      </c>
      <c r="Q33" s="7" t="str">
        <f>_xlfn.XLOOKUP(Tests[[#This Row],[Convention]], Conventions[Name],Conventions[Required Fields])</f>
        <v>FPID, Title</v>
      </c>
      <c r="R33" s="15" t="str">
        <f>_xlfn.XLOOKUP(Tests[[#This Row],[Convention]], Conventions[Name],Conventions[Optional Fields])</f>
        <v>Subtitle</v>
      </c>
      <c r="S33" s="4">
        <f ca="1">LEN(Tests[[#This Row],[Valid Name]])</f>
        <v>31</v>
      </c>
    </row>
    <row r="34" spans="1:19" x14ac:dyDescent="0.2">
      <c r="A34" s="1" t="s">
        <v>5</v>
      </c>
      <c r="B34" s="1"/>
      <c r="C34" s="1" t="s">
        <v>427</v>
      </c>
      <c r="D34" s="1" t="s">
        <v>51</v>
      </c>
      <c r="E34" s="21"/>
      <c r="F34" s="1"/>
      <c r="G34" s="1"/>
      <c r="H34" s="1"/>
      <c r="I34" s="27"/>
      <c r="J34" s="1"/>
      <c r="K34" s="1"/>
      <c r="L34" s="23"/>
      <c r="M34" s="25"/>
      <c r="N34" s="16"/>
      <c r="O34" s="29" t="str" cm="1">
        <f t="array" aca="1" ref="O34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34" s="4" t="str" cm="1">
        <f t="array" aca="1" ref="P34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201210-9_WWVDSReqs.pdf</v>
      </c>
      <c r="Q34" s="7" t="str">
        <f>_xlfn.XLOOKUP(Tests[[#This Row],[Convention]], Conventions[Name],Conventions[Required Fields])</f>
        <v>FPID, Title</v>
      </c>
      <c r="R34" s="15" t="str">
        <f>_xlfn.XLOOKUP(Tests[[#This Row],[Convention]], Conventions[Name],Conventions[Optional Fields])</f>
        <v>Subtitle</v>
      </c>
      <c r="S34" s="4">
        <f ca="1">LEN(Tests[[#This Row],[Valid Name]])</f>
        <v>22</v>
      </c>
    </row>
    <row r="35" spans="1:19" x14ac:dyDescent="0.2">
      <c r="A35" s="1" t="s">
        <v>6</v>
      </c>
      <c r="B35" s="1"/>
      <c r="C35" s="1" t="s">
        <v>427</v>
      </c>
      <c r="D35" s="1" t="s">
        <v>51</v>
      </c>
      <c r="E35" s="21"/>
      <c r="F35" s="1"/>
      <c r="G35" s="1"/>
      <c r="H35" s="1"/>
      <c r="I35" s="27"/>
      <c r="J35" s="1"/>
      <c r="K35" s="1"/>
      <c r="L35" s="23"/>
      <c r="M35" s="25"/>
      <c r="N35" s="16"/>
      <c r="O35" s="29" t="str" cm="1">
        <f t="array" aca="1" ref="O35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35" s="4" t="str" cm="1">
        <f t="array" aca="1" ref="P35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201210-9_WarningGateSystemReqs.pdf</v>
      </c>
      <c r="Q35" s="7" t="str">
        <f>_xlfn.XLOOKUP(Tests[[#This Row],[Convention]], Conventions[Name],Conventions[Required Fields])</f>
        <v>FPID, Title</v>
      </c>
      <c r="R35" s="15" t="str">
        <f>_xlfn.XLOOKUP(Tests[[#This Row],[Convention]], Conventions[Name],Conventions[Optional Fields])</f>
        <v>Subtitle</v>
      </c>
      <c r="S35" s="4">
        <f ca="1">LEN(Tests[[#This Row],[Valid Name]])</f>
        <v>34</v>
      </c>
    </row>
    <row r="36" spans="1:19" x14ac:dyDescent="0.2">
      <c r="A36" s="1" t="s">
        <v>359</v>
      </c>
      <c r="B36" s="1"/>
      <c r="C36" s="1" t="s">
        <v>427</v>
      </c>
      <c r="D36" s="1" t="s">
        <v>51</v>
      </c>
      <c r="E36" s="21"/>
      <c r="F36" s="1"/>
      <c r="G36" s="1"/>
      <c r="H36" s="1"/>
      <c r="I36" s="27"/>
      <c r="J36" s="1"/>
      <c r="K36" s="1"/>
      <c r="L36" s="23"/>
      <c r="M36" s="25"/>
      <c r="N36" s="16"/>
      <c r="O36" s="29" t="str" cm="1">
        <f t="array" aca="1" ref="O36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36" s="4" t="str" cm="1">
        <f t="array" aca="1" ref="P36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201210-9_RdwyGeotechRpt.pdf</v>
      </c>
      <c r="Q36" s="7" t="str">
        <f>_xlfn.XLOOKUP(Tests[[#This Row],[Convention]], Conventions[Name],Conventions[Required Fields])</f>
        <v>FPID, Title</v>
      </c>
      <c r="R36" s="15" t="str">
        <f>_xlfn.XLOOKUP(Tests[[#This Row],[Convention]], Conventions[Name],Conventions[Optional Fields])</f>
        <v>Subtitle</v>
      </c>
      <c r="S36" s="4">
        <f ca="1">LEN(Tests[[#This Row],[Valid Name]])</f>
        <v>27</v>
      </c>
    </row>
    <row r="37" spans="1:19" x14ac:dyDescent="0.2">
      <c r="A37" s="1" t="s">
        <v>360</v>
      </c>
      <c r="B37" s="1"/>
      <c r="C37" s="1" t="s">
        <v>427</v>
      </c>
      <c r="D37" s="1" t="s">
        <v>51</v>
      </c>
      <c r="E37" s="21"/>
      <c r="F37" s="1"/>
      <c r="G37" s="1"/>
      <c r="H37" s="1"/>
      <c r="I37" s="27"/>
      <c r="J37" s="1"/>
      <c r="K37" s="1"/>
      <c r="L37" s="23"/>
      <c r="M37" s="25"/>
      <c r="N37" s="16"/>
      <c r="O37" s="29" t="str" cm="1">
        <f t="array" aca="1" ref="O37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37" s="4" t="str" cm="1">
        <f t="array" aca="1" ref="P37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201210-9_SignStructGeotechRpt.pdf</v>
      </c>
      <c r="Q37" s="7" t="str">
        <f>_xlfn.XLOOKUP(Tests[[#This Row],[Convention]], Conventions[Name],Conventions[Required Fields])</f>
        <v>FPID, Title</v>
      </c>
      <c r="R37" s="15" t="str">
        <f>_xlfn.XLOOKUP(Tests[[#This Row],[Convention]], Conventions[Name],Conventions[Optional Fields])</f>
        <v>Subtitle</v>
      </c>
      <c r="S37" s="4">
        <f ca="1">LEN(Tests[[#This Row],[Valid Name]])</f>
        <v>33</v>
      </c>
    </row>
    <row r="38" spans="1:19" x14ac:dyDescent="0.2">
      <c r="A38" s="1" t="s">
        <v>361</v>
      </c>
      <c r="B38" s="1"/>
      <c r="C38" s="1" t="s">
        <v>427</v>
      </c>
      <c r="D38" s="1" t="s">
        <v>51</v>
      </c>
      <c r="E38" s="21"/>
      <c r="F38" s="1"/>
      <c r="G38" s="1"/>
      <c r="H38" s="1"/>
      <c r="I38" s="27"/>
      <c r="J38" s="1"/>
      <c r="K38" s="1"/>
      <c r="L38" s="23"/>
      <c r="M38" s="25"/>
      <c r="N38" s="16"/>
      <c r="O38" s="29" t="str" cm="1">
        <f t="array" aca="1" ref="O38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38" s="4" t="str" cm="1">
        <f t="array" aca="1" ref="P38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201210-9_SignalStructGeotechRpt.pdf</v>
      </c>
      <c r="Q38" s="7" t="str">
        <f>_xlfn.XLOOKUP(Tests[[#This Row],[Convention]], Conventions[Name],Conventions[Required Fields])</f>
        <v>FPID, Title</v>
      </c>
      <c r="R38" s="15" t="str">
        <f>_xlfn.XLOOKUP(Tests[[#This Row],[Convention]], Conventions[Name],Conventions[Optional Fields])</f>
        <v>Subtitle</v>
      </c>
      <c r="S38" s="4">
        <f ca="1">LEN(Tests[[#This Row],[Valid Name]])</f>
        <v>35</v>
      </c>
    </row>
    <row r="39" spans="1:19" x14ac:dyDescent="0.2">
      <c r="A39" s="1" t="s">
        <v>362</v>
      </c>
      <c r="B39" s="1"/>
      <c r="C39" s="1" t="s">
        <v>427</v>
      </c>
      <c r="D39" s="1" t="s">
        <v>51</v>
      </c>
      <c r="E39" s="21"/>
      <c r="F39" s="1"/>
      <c r="G39" s="1"/>
      <c r="H39" s="1"/>
      <c r="I39" s="27"/>
      <c r="J39" s="1"/>
      <c r="K39" s="1"/>
      <c r="L39" s="23"/>
      <c r="M39" s="25"/>
      <c r="N39" s="16"/>
      <c r="O39" s="29" t="str" cm="1">
        <f t="array" aca="1" ref="O39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39" s="4" t="str" cm="1">
        <f t="array" aca="1" ref="P39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201210-9_ITSGeotechRpt.pdf</v>
      </c>
      <c r="Q39" s="7" t="str">
        <f>_xlfn.XLOOKUP(Tests[[#This Row],[Convention]], Conventions[Name],Conventions[Required Fields])</f>
        <v>FPID, Title</v>
      </c>
      <c r="R39" s="15" t="str">
        <f>_xlfn.XLOOKUP(Tests[[#This Row],[Convention]], Conventions[Name],Conventions[Optional Fields])</f>
        <v>Subtitle</v>
      </c>
      <c r="S39" s="4">
        <f ca="1">LEN(Tests[[#This Row],[Valid Name]])</f>
        <v>26</v>
      </c>
    </row>
    <row r="40" spans="1:19" x14ac:dyDescent="0.2">
      <c r="A40" s="1" t="s">
        <v>363</v>
      </c>
      <c r="B40" s="1"/>
      <c r="C40" s="1" t="s">
        <v>427</v>
      </c>
      <c r="D40" s="1" t="s">
        <v>51</v>
      </c>
      <c r="E40" s="21"/>
      <c r="F40" s="1"/>
      <c r="G40" s="1"/>
      <c r="H40" s="1"/>
      <c r="I40" s="27"/>
      <c r="J40" s="1"/>
      <c r="K40" s="1"/>
      <c r="L40" s="23"/>
      <c r="M40" s="25"/>
      <c r="N40" s="16"/>
      <c r="O40" s="29" t="str" cm="1">
        <f t="array" aca="1" ref="O40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40" s="4" t="str" cm="1">
        <f t="array" aca="1" ref="P40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201210-9_LtgGeotechRpt.pdf</v>
      </c>
      <c r="Q40" s="7" t="str">
        <f>_xlfn.XLOOKUP(Tests[[#This Row],[Convention]], Conventions[Name],Conventions[Required Fields])</f>
        <v>FPID, Title</v>
      </c>
      <c r="R40" s="15" t="str">
        <f>_xlfn.XLOOKUP(Tests[[#This Row],[Convention]], Conventions[Name],Conventions[Optional Fields])</f>
        <v>Subtitle</v>
      </c>
      <c r="S40" s="4">
        <f ca="1">LEN(Tests[[#This Row],[Valid Name]])</f>
        <v>26</v>
      </c>
    </row>
    <row r="41" spans="1:19" x14ac:dyDescent="0.2">
      <c r="A41" s="1" t="s">
        <v>364</v>
      </c>
      <c r="B41" s="1"/>
      <c r="C41" s="1" t="s">
        <v>427</v>
      </c>
      <c r="D41" s="1" t="s">
        <v>51</v>
      </c>
      <c r="E41" s="21"/>
      <c r="F41" s="1"/>
      <c r="G41" s="1"/>
      <c r="H41" s="1"/>
      <c r="I41" s="27"/>
      <c r="J41" s="1"/>
      <c r="K41" s="1"/>
      <c r="L41" s="23"/>
      <c r="M41" s="25"/>
      <c r="N41" s="16"/>
      <c r="O41" s="29" t="str" cm="1">
        <f t="array" aca="1" ref="O41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41" s="4" t="str" cm="1">
        <f t="array" aca="1" ref="P41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201210-9_StructsGeotechRpt.pdf</v>
      </c>
      <c r="Q41" s="7" t="str">
        <f>_xlfn.XLOOKUP(Tests[[#This Row],[Convention]], Conventions[Name],Conventions[Required Fields])</f>
        <v>FPID, Title</v>
      </c>
      <c r="R41" s="15" t="str">
        <f>_xlfn.XLOOKUP(Tests[[#This Row],[Convention]], Conventions[Name],Conventions[Optional Fields])</f>
        <v>Subtitle</v>
      </c>
      <c r="S41" s="4">
        <f ca="1">LEN(Tests[[#This Row],[Valid Name]])</f>
        <v>30</v>
      </c>
    </row>
    <row r="42" spans="1:19" x14ac:dyDescent="0.2">
      <c r="A42" s="1" t="s">
        <v>393</v>
      </c>
      <c r="B42" s="1"/>
      <c r="C42" s="1" t="s">
        <v>427</v>
      </c>
      <c r="D42" s="1" t="s">
        <v>51</v>
      </c>
      <c r="E42" s="21"/>
      <c r="F42" s="1"/>
      <c r="G42" s="1"/>
      <c r="H42" s="1"/>
      <c r="I42" s="27"/>
      <c r="J42" s="1"/>
      <c r="K42" s="1"/>
      <c r="L42" s="23"/>
      <c r="M42" s="25"/>
      <c r="N42" s="16"/>
      <c r="O42" s="29" t="str" cm="1">
        <f t="array" aca="1" ref="O42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42" s="4" t="str" cm="1">
        <f t="array" aca="1" ref="P42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201210-9_ACMEvalRpt.pdf</v>
      </c>
      <c r="Q42" s="7" t="str">
        <f>_xlfn.XLOOKUP(Tests[[#This Row],[Convention]], Conventions[Name],Conventions[Required Fields])</f>
        <v>FPID, Title</v>
      </c>
      <c r="R42" s="15" t="str">
        <f>_xlfn.XLOOKUP(Tests[[#This Row],[Convention]], Conventions[Name],Conventions[Optional Fields])</f>
        <v>Subtitle</v>
      </c>
      <c r="S42" s="4">
        <f ca="1">LEN(Tests[[#This Row],[Valid Name]])</f>
        <v>23</v>
      </c>
    </row>
    <row r="43" spans="1:19" x14ac:dyDescent="0.2">
      <c r="A43" s="1" t="s">
        <v>392</v>
      </c>
      <c r="B43" s="1"/>
      <c r="C43" s="1" t="s">
        <v>427</v>
      </c>
      <c r="D43" s="1" t="s">
        <v>51</v>
      </c>
      <c r="E43" s="21"/>
      <c r="F43" s="1"/>
      <c r="G43" s="1"/>
      <c r="H43" s="1"/>
      <c r="I43" s="27"/>
      <c r="J43" s="1"/>
      <c r="K43" s="1"/>
      <c r="L43" s="23"/>
      <c r="M43" s="25"/>
      <c r="N43" s="16"/>
      <c r="O43" s="29" t="str" cm="1">
        <f t="array" aca="1" ref="O43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43" s="4" t="str" cm="1">
        <f t="array" aca="1" ref="P43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201210-9_LBPInspRpt.pdf</v>
      </c>
      <c r="Q43" s="7" t="str">
        <f>_xlfn.XLOOKUP(Tests[[#This Row],[Convention]], Conventions[Name],Conventions[Required Fields])</f>
        <v>FPID, Title</v>
      </c>
      <c r="R43" s="15" t="str">
        <f>_xlfn.XLOOKUP(Tests[[#This Row],[Convention]], Conventions[Name],Conventions[Optional Fields])</f>
        <v>Subtitle</v>
      </c>
      <c r="S43" s="4">
        <f ca="1">LEN(Tests[[#This Row],[Valid Name]])</f>
        <v>23</v>
      </c>
    </row>
    <row r="44" spans="1:19" x14ac:dyDescent="0.2">
      <c r="A44" s="1" t="s">
        <v>394</v>
      </c>
      <c r="B44" s="1" t="s">
        <v>395</v>
      </c>
      <c r="C44" s="1" t="s">
        <v>427</v>
      </c>
      <c r="D44" s="1" t="s">
        <v>51</v>
      </c>
      <c r="E44" s="21"/>
      <c r="F44" s="1"/>
      <c r="G44" s="1"/>
      <c r="H44" s="1"/>
      <c r="I44" s="27"/>
      <c r="J44" s="1"/>
      <c r="K44" s="1"/>
      <c r="L44" s="23"/>
      <c r="M44" s="25"/>
      <c r="N44" s="16"/>
      <c r="O44" s="29" t="str" cm="1">
        <f t="array" aca="1" ref="O44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44" s="4" t="str" cm="1">
        <f t="array" aca="1" ref="P44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201210-9_MOU-SFWMDAndSWFWMD.pdf</v>
      </c>
      <c r="Q44" s="7" t="str">
        <f>_xlfn.XLOOKUP(Tests[[#This Row],[Convention]], Conventions[Name],Conventions[Required Fields])</f>
        <v>FPID, Title</v>
      </c>
      <c r="R44" s="15" t="str">
        <f>_xlfn.XLOOKUP(Tests[[#This Row],[Convention]], Conventions[Name],Conventions[Optional Fields])</f>
        <v>Subtitle</v>
      </c>
      <c r="S44" s="4">
        <f ca="1">LEN(Tests[[#This Row],[Valid Name]])</f>
        <v>31</v>
      </c>
    </row>
    <row r="45" spans="1:19" x14ac:dyDescent="0.2">
      <c r="A45" s="1" t="s">
        <v>14</v>
      </c>
      <c r="B45" s="1" t="s">
        <v>400</v>
      </c>
      <c r="C45" s="1" t="s">
        <v>427</v>
      </c>
      <c r="D45" s="1" t="s">
        <v>51</v>
      </c>
      <c r="E45" s="21"/>
      <c r="F45" s="1"/>
      <c r="G45" s="1"/>
      <c r="H45" s="1"/>
      <c r="I45" s="27"/>
      <c r="J45" s="1"/>
      <c r="K45" s="1"/>
      <c r="L45" s="23"/>
      <c r="M45" s="25"/>
      <c r="N45" s="16"/>
      <c r="O45" s="29" t="str" cm="1">
        <f t="array" aca="1" ref="O45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45" s="4" t="str" cm="1">
        <f t="array" aca="1" ref="P45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201210-9_UtilCoord-CenturyLink.pdf</v>
      </c>
      <c r="Q45" s="7" t="str">
        <f>_xlfn.XLOOKUP(Tests[[#This Row],[Convention]], Conventions[Name],Conventions[Required Fields])</f>
        <v>FPID, Title</v>
      </c>
      <c r="R45" s="15" t="str">
        <f>_xlfn.XLOOKUP(Tests[[#This Row],[Convention]], Conventions[Name],Conventions[Optional Fields])</f>
        <v>Subtitle</v>
      </c>
      <c r="S45" s="4">
        <f ca="1">LEN(Tests[[#This Row],[Valid Name]])</f>
        <v>34</v>
      </c>
    </row>
    <row r="46" spans="1:19" x14ac:dyDescent="0.2">
      <c r="A46" s="1" t="s">
        <v>14</v>
      </c>
      <c r="B46" s="1" t="s">
        <v>401</v>
      </c>
      <c r="C46" s="1" t="s">
        <v>427</v>
      </c>
      <c r="D46" s="1" t="s">
        <v>51</v>
      </c>
      <c r="E46" s="21"/>
      <c r="F46" s="1"/>
      <c r="G46" s="1"/>
      <c r="H46" s="1"/>
      <c r="I46" s="27"/>
      <c r="J46" s="1"/>
      <c r="K46" s="1"/>
      <c r="L46" s="23"/>
      <c r="M46" s="25"/>
      <c r="N46" s="16"/>
      <c r="O46" s="29" t="str" cm="1">
        <f t="array" aca="1" ref="O46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46" s="4" t="str" cm="1">
        <f t="array" aca="1" ref="P46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201210-9_UtilCoord-Level3.pdf</v>
      </c>
      <c r="Q46" s="7" t="str">
        <f>_xlfn.XLOOKUP(Tests[[#This Row],[Convention]], Conventions[Name],Conventions[Required Fields])</f>
        <v>FPID, Title</v>
      </c>
      <c r="R46" s="15" t="str">
        <f>_xlfn.XLOOKUP(Tests[[#This Row],[Convention]], Conventions[Name],Conventions[Optional Fields])</f>
        <v>Subtitle</v>
      </c>
      <c r="S46" s="4">
        <f ca="1">LEN(Tests[[#This Row],[Valid Name]])</f>
        <v>29</v>
      </c>
    </row>
    <row r="47" spans="1:19" x14ac:dyDescent="0.2">
      <c r="A47" s="1" t="s">
        <v>14</v>
      </c>
      <c r="B47" s="1" t="s">
        <v>402</v>
      </c>
      <c r="C47" s="1" t="s">
        <v>427</v>
      </c>
      <c r="D47" s="1" t="s">
        <v>51</v>
      </c>
      <c r="E47" s="21"/>
      <c r="F47" s="1"/>
      <c r="G47" s="1"/>
      <c r="H47" s="1"/>
      <c r="I47" s="27"/>
      <c r="J47" s="1"/>
      <c r="K47" s="1"/>
      <c r="L47" s="23"/>
      <c r="M47" s="25"/>
      <c r="N47" s="16"/>
      <c r="O47" s="29" t="str" cm="1">
        <f t="array" aca="1" ref="O47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47" s="4" t="str" cm="1">
        <f t="array" aca="1" ref="P47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201210-9_UtilCoord-CharterSpectrum.pdf</v>
      </c>
      <c r="Q47" s="7" t="str">
        <f>_xlfn.XLOOKUP(Tests[[#This Row],[Convention]], Conventions[Name],Conventions[Required Fields])</f>
        <v>FPID, Title</v>
      </c>
      <c r="R47" s="15" t="str">
        <f>_xlfn.XLOOKUP(Tests[[#This Row],[Convention]], Conventions[Name],Conventions[Optional Fields])</f>
        <v>Subtitle</v>
      </c>
      <c r="S47" s="4">
        <f ca="1">LEN(Tests[[#This Row],[Valid Name]])</f>
        <v>38</v>
      </c>
    </row>
    <row r="48" spans="1:19" x14ac:dyDescent="0.2">
      <c r="A48" s="1" t="s">
        <v>14</v>
      </c>
      <c r="B48" s="1" t="s">
        <v>403</v>
      </c>
      <c r="C48" s="1" t="s">
        <v>427</v>
      </c>
      <c r="D48" s="1" t="s">
        <v>51</v>
      </c>
      <c r="E48" s="21"/>
      <c r="F48" s="1"/>
      <c r="G48" s="1"/>
      <c r="H48" s="1"/>
      <c r="I48" s="27"/>
      <c r="J48" s="1"/>
      <c r="K48" s="1"/>
      <c r="L48" s="23"/>
      <c r="M48" s="25"/>
      <c r="N48" s="16"/>
      <c r="O48" s="29" t="str" cm="1">
        <f t="array" aca="1" ref="O48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48" s="4" t="str" cm="1">
        <f t="array" aca="1" ref="P48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201210-9_UtilCoord-CityOfWinterHaveITFOC.pdf</v>
      </c>
      <c r="Q48" s="7" t="str">
        <f>_xlfn.XLOOKUP(Tests[[#This Row],[Convention]], Conventions[Name],Conventions[Required Fields])</f>
        <v>FPID, Title</v>
      </c>
      <c r="R48" s="15" t="str">
        <f>_xlfn.XLOOKUP(Tests[[#This Row],[Convention]], Conventions[Name],Conventions[Optional Fields])</f>
        <v>Subtitle</v>
      </c>
      <c r="S48" s="4">
        <f ca="1">LEN(Tests[[#This Row],[Valid Name]])</f>
        <v>44</v>
      </c>
    </row>
    <row r="49" spans="1:19" x14ac:dyDescent="0.2">
      <c r="A49" s="1" t="s">
        <v>14</v>
      </c>
      <c r="B49" s="1" t="s">
        <v>404</v>
      </c>
      <c r="C49" s="1" t="s">
        <v>427</v>
      </c>
      <c r="D49" s="1" t="s">
        <v>51</v>
      </c>
      <c r="E49" s="21"/>
      <c r="F49" s="1"/>
      <c r="G49" s="1"/>
      <c r="H49" s="1"/>
      <c r="I49" s="27"/>
      <c r="J49" s="1"/>
      <c r="K49" s="1"/>
      <c r="L49" s="23"/>
      <c r="M49" s="25"/>
      <c r="N49" s="16"/>
      <c r="O49" s="29" t="str" cm="1">
        <f t="array" aca="1" ref="O49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49" s="4" t="str" cm="1">
        <f t="array" aca="1" ref="P49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201210-9_UtilCoord-Comcast.pdf</v>
      </c>
      <c r="Q49" s="7" t="str">
        <f>_xlfn.XLOOKUP(Tests[[#This Row],[Convention]], Conventions[Name],Conventions[Required Fields])</f>
        <v>FPID, Title</v>
      </c>
      <c r="R49" s="15" t="str">
        <f>_xlfn.XLOOKUP(Tests[[#This Row],[Convention]], Conventions[Name],Conventions[Optional Fields])</f>
        <v>Subtitle</v>
      </c>
      <c r="S49" s="4">
        <f ca="1">LEN(Tests[[#This Row],[Valid Name]])</f>
        <v>30</v>
      </c>
    </row>
    <row r="50" spans="1:19" x14ac:dyDescent="0.2">
      <c r="A50" s="1" t="s">
        <v>14</v>
      </c>
      <c r="B50" s="1" t="s">
        <v>405</v>
      </c>
      <c r="C50" s="1" t="s">
        <v>427</v>
      </c>
      <c r="D50" s="1" t="s">
        <v>51</v>
      </c>
      <c r="E50" s="21"/>
      <c r="F50" s="1"/>
      <c r="G50" s="1"/>
      <c r="H50" s="1"/>
      <c r="I50" s="27"/>
      <c r="J50" s="1"/>
      <c r="K50" s="1"/>
      <c r="L50" s="23"/>
      <c r="M50" s="25"/>
      <c r="N50" s="16"/>
      <c r="O50" s="29" t="str" cm="1">
        <f t="array" aca="1" ref="O50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50" s="4" t="str" cm="1">
        <f t="array" aca="1" ref="P50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201210-9_UtilCoord-DukeEnergyDist.pdf</v>
      </c>
      <c r="Q50" s="7" t="str">
        <f>_xlfn.XLOOKUP(Tests[[#This Row],[Convention]], Conventions[Name],Conventions[Required Fields])</f>
        <v>FPID, Title</v>
      </c>
      <c r="R50" s="15" t="str">
        <f>_xlfn.XLOOKUP(Tests[[#This Row],[Convention]], Conventions[Name],Conventions[Optional Fields])</f>
        <v>Subtitle</v>
      </c>
      <c r="S50" s="4">
        <f ca="1">LEN(Tests[[#This Row],[Valid Name]])</f>
        <v>37</v>
      </c>
    </row>
    <row r="51" spans="1:19" x14ac:dyDescent="0.2">
      <c r="A51" s="1" t="s">
        <v>14</v>
      </c>
      <c r="B51" s="1" t="s">
        <v>406</v>
      </c>
      <c r="C51" s="1" t="s">
        <v>427</v>
      </c>
      <c r="D51" s="1" t="s">
        <v>51</v>
      </c>
      <c r="E51" s="21"/>
      <c r="F51" s="1"/>
      <c r="G51" s="1"/>
      <c r="H51" s="1"/>
      <c r="I51" s="27"/>
      <c r="J51" s="1"/>
      <c r="K51" s="1"/>
      <c r="L51" s="23"/>
      <c r="M51" s="25"/>
      <c r="N51" s="16"/>
      <c r="O51" s="29" t="str" cm="1">
        <f t="array" aca="1" ref="O51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51" s="4" t="str" cm="1">
        <f t="array" aca="1" ref="P51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201210-9_UtilCoord-DukeEnergyFiber.pdf</v>
      </c>
      <c r="Q51" s="7" t="str">
        <f>_xlfn.XLOOKUP(Tests[[#This Row],[Convention]], Conventions[Name],Conventions[Required Fields])</f>
        <v>FPID, Title</v>
      </c>
      <c r="R51" s="15" t="str">
        <f>_xlfn.XLOOKUP(Tests[[#This Row],[Convention]], Conventions[Name],Conventions[Optional Fields])</f>
        <v>Subtitle</v>
      </c>
      <c r="S51" s="4">
        <f ca="1">LEN(Tests[[#This Row],[Valid Name]])</f>
        <v>38</v>
      </c>
    </row>
    <row r="52" spans="1:19" x14ac:dyDescent="0.2">
      <c r="A52" s="1" t="s">
        <v>14</v>
      </c>
      <c r="B52" s="1" t="s">
        <v>407</v>
      </c>
      <c r="C52" s="1" t="s">
        <v>427</v>
      </c>
      <c r="D52" s="1" t="s">
        <v>51</v>
      </c>
      <c r="E52" s="21"/>
      <c r="F52" s="1"/>
      <c r="G52" s="1"/>
      <c r="H52" s="1"/>
      <c r="I52" s="27"/>
      <c r="J52" s="1"/>
      <c r="K52" s="1"/>
      <c r="L52" s="23"/>
      <c r="M52" s="25"/>
      <c r="N52" s="16"/>
      <c r="O52" s="29" t="str" cm="1">
        <f t="array" aca="1" ref="O52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52" s="4" t="str" cm="1">
        <f t="array" aca="1" ref="P52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201210-9_UtilCoord-DukeEnergyTrans.pdf</v>
      </c>
      <c r="Q52" s="7" t="str">
        <f>_xlfn.XLOOKUP(Tests[[#This Row],[Convention]], Conventions[Name],Conventions[Required Fields])</f>
        <v>FPID, Title</v>
      </c>
      <c r="R52" s="15" t="str">
        <f>_xlfn.XLOOKUP(Tests[[#This Row],[Convention]], Conventions[Name],Conventions[Optional Fields])</f>
        <v>Subtitle</v>
      </c>
      <c r="S52" s="4">
        <f ca="1">LEN(Tests[[#This Row],[Valid Name]])</f>
        <v>38</v>
      </c>
    </row>
    <row r="53" spans="1:19" x14ac:dyDescent="0.2">
      <c r="A53" s="1" t="s">
        <v>14</v>
      </c>
      <c r="B53" s="1" t="s">
        <v>412</v>
      </c>
      <c r="C53" s="1" t="s">
        <v>427</v>
      </c>
      <c r="D53" s="1" t="s">
        <v>51</v>
      </c>
      <c r="E53" s="21"/>
      <c r="F53" s="1"/>
      <c r="G53" s="1"/>
      <c r="H53" s="1"/>
      <c r="I53" s="27"/>
      <c r="J53" s="1"/>
      <c r="K53" s="1"/>
      <c r="L53" s="23"/>
      <c r="M53" s="25"/>
      <c r="N53" s="16"/>
      <c r="O53" s="29" t="str" cm="1">
        <f t="array" aca="1" ref="O53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53" s="4" t="str" cm="1">
        <f t="array" aca="1" ref="P53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201210-9_UtilCoord-FloridaPublicUtils.pdf</v>
      </c>
      <c r="Q53" s="7" t="str">
        <f>_xlfn.XLOOKUP(Tests[[#This Row],[Convention]], Conventions[Name],Conventions[Required Fields])</f>
        <v>FPID, Title</v>
      </c>
      <c r="R53" s="15" t="str">
        <f>_xlfn.XLOOKUP(Tests[[#This Row],[Convention]], Conventions[Name],Conventions[Optional Fields])</f>
        <v>Subtitle</v>
      </c>
      <c r="S53" s="4">
        <f ca="1">LEN(Tests[[#This Row],[Valid Name]])</f>
        <v>41</v>
      </c>
    </row>
    <row r="54" spans="1:19" x14ac:dyDescent="0.2">
      <c r="A54" s="1" t="s">
        <v>14</v>
      </c>
      <c r="B54" s="1" t="s">
        <v>413</v>
      </c>
      <c r="C54" s="1" t="s">
        <v>427</v>
      </c>
      <c r="D54" s="1" t="s">
        <v>51</v>
      </c>
      <c r="E54" s="21"/>
      <c r="F54" s="1"/>
      <c r="G54" s="1"/>
      <c r="H54" s="1"/>
      <c r="I54" s="27"/>
      <c r="J54" s="1"/>
      <c r="K54" s="1"/>
      <c r="L54" s="23"/>
      <c r="M54" s="25"/>
      <c r="N54" s="16"/>
      <c r="O54" s="29" t="str" cm="1">
        <f t="array" aca="1" ref="O54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54" s="4" t="str" cm="1">
        <f t="array" aca="1" ref="P54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201210-9_UtilCoord-FrontierFlorida.pdf</v>
      </c>
      <c r="Q54" s="7" t="str">
        <f>_xlfn.XLOOKUP(Tests[[#This Row],[Convention]], Conventions[Name],Conventions[Required Fields])</f>
        <v>FPID, Title</v>
      </c>
      <c r="R54" s="15" t="str">
        <f>_xlfn.XLOOKUP(Tests[[#This Row],[Convention]], Conventions[Name],Conventions[Optional Fields])</f>
        <v>Subtitle</v>
      </c>
      <c r="S54" s="4">
        <f ca="1">LEN(Tests[[#This Row],[Valid Name]])</f>
        <v>38</v>
      </c>
    </row>
    <row r="55" spans="1:19" x14ac:dyDescent="0.2">
      <c r="A55" s="1" t="s">
        <v>14</v>
      </c>
      <c r="B55" s="1" t="s">
        <v>414</v>
      </c>
      <c r="C55" s="1" t="s">
        <v>427</v>
      </c>
      <c r="D55" s="1" t="s">
        <v>51</v>
      </c>
      <c r="E55" s="21"/>
      <c r="F55" s="1"/>
      <c r="G55" s="1"/>
      <c r="H55" s="1"/>
      <c r="I55" s="27"/>
      <c r="J55" s="1"/>
      <c r="K55" s="1"/>
      <c r="L55" s="23"/>
      <c r="M55" s="25"/>
      <c r="N55" s="16"/>
      <c r="O55" s="29" t="str" cm="1">
        <f t="array" aca="1" ref="O55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55" s="4" t="str" cm="1">
        <f t="array" aca="1" ref="P55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201210-9_UtilCoord-PolkCountyUtils.pdf</v>
      </c>
      <c r="Q55" s="7" t="str">
        <f>_xlfn.XLOOKUP(Tests[[#This Row],[Convention]], Conventions[Name],Conventions[Required Fields])</f>
        <v>FPID, Title</v>
      </c>
      <c r="R55" s="15" t="str">
        <f>_xlfn.XLOOKUP(Tests[[#This Row],[Convention]], Conventions[Name],Conventions[Optional Fields])</f>
        <v>Subtitle</v>
      </c>
      <c r="S55" s="4">
        <f ca="1">LEN(Tests[[#This Row],[Valid Name]])</f>
        <v>38</v>
      </c>
    </row>
    <row r="56" spans="1:19" x14ac:dyDescent="0.2">
      <c r="A56" s="1" t="s">
        <v>14</v>
      </c>
      <c r="B56" s="1" t="s">
        <v>415</v>
      </c>
      <c r="C56" s="1" t="s">
        <v>427</v>
      </c>
      <c r="D56" s="1" t="s">
        <v>51</v>
      </c>
      <c r="E56" s="21"/>
      <c r="F56" s="1"/>
      <c r="G56" s="1"/>
      <c r="H56" s="1"/>
      <c r="I56" s="27"/>
      <c r="J56" s="1"/>
      <c r="K56" s="1"/>
      <c r="L56" s="23"/>
      <c r="M56" s="25"/>
      <c r="N56" s="16"/>
      <c r="O56" s="29" t="str" cm="1">
        <f t="array" aca="1" ref="O56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56" s="4" t="str" cm="1">
        <f t="array" aca="1" ref="P56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201210-9_UtilCoord-SummitBroadband.pdf</v>
      </c>
      <c r="Q56" s="7" t="str">
        <f>_xlfn.XLOOKUP(Tests[[#This Row],[Convention]], Conventions[Name],Conventions[Required Fields])</f>
        <v>FPID, Title</v>
      </c>
      <c r="R56" s="15" t="str">
        <f>_xlfn.XLOOKUP(Tests[[#This Row],[Convention]], Conventions[Name],Conventions[Optional Fields])</f>
        <v>Subtitle</v>
      </c>
      <c r="S56" s="4">
        <f ca="1">LEN(Tests[[#This Row],[Valid Name]])</f>
        <v>38</v>
      </c>
    </row>
    <row r="57" spans="1:19" x14ac:dyDescent="0.2">
      <c r="A57" s="1" t="s">
        <v>14</v>
      </c>
      <c r="B57" s="1" t="s">
        <v>416</v>
      </c>
      <c r="C57" s="1" t="s">
        <v>427</v>
      </c>
      <c r="D57" s="1" t="s">
        <v>51</v>
      </c>
      <c r="E57" s="21"/>
      <c r="F57" s="1"/>
      <c r="G57" s="1"/>
      <c r="H57" s="1"/>
      <c r="I57" s="27"/>
      <c r="J57" s="1"/>
      <c r="K57" s="1"/>
      <c r="L57" s="23"/>
      <c r="M57" s="25"/>
      <c r="N57" s="16"/>
      <c r="O57" s="29" t="str" cm="1">
        <f t="array" aca="1" ref="O57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57" s="4" t="str" cm="1">
        <f t="array" aca="1" ref="P57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201210-9_UtilCoord-ZAYO.pdf</v>
      </c>
      <c r="Q57" s="7" t="str">
        <f>_xlfn.XLOOKUP(Tests[[#This Row],[Convention]], Conventions[Name],Conventions[Required Fields])</f>
        <v>FPID, Title</v>
      </c>
      <c r="R57" s="15" t="str">
        <f>_xlfn.XLOOKUP(Tests[[#This Row],[Convention]], Conventions[Name],Conventions[Optional Fields])</f>
        <v>Subtitle</v>
      </c>
      <c r="S57" s="4">
        <f ca="1">LEN(Tests[[#This Row],[Valid Name]])</f>
        <v>27</v>
      </c>
    </row>
    <row r="58" spans="1:19" x14ac:dyDescent="0.2">
      <c r="A58" s="1" t="s">
        <v>7</v>
      </c>
      <c r="B58" s="1"/>
      <c r="C58" s="1" t="s">
        <v>427</v>
      </c>
      <c r="D58" s="1" t="s">
        <v>51</v>
      </c>
      <c r="E58" s="21"/>
      <c r="F58" s="1"/>
      <c r="G58" s="1"/>
      <c r="H58" s="1"/>
      <c r="I58" s="27"/>
      <c r="J58" s="1"/>
      <c r="K58" s="1"/>
      <c r="L58" s="23"/>
      <c r="M58" s="25"/>
      <c r="N58" s="16"/>
      <c r="O58" s="29" t="str" cm="1">
        <f t="array" aca="1" ref="O58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58" s="4" t="str" cm="1">
        <f t="array" aca="1" ref="P58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201210-9_SrvyData.pdf</v>
      </c>
      <c r="Q58" s="7" t="str">
        <f>_xlfn.XLOOKUP(Tests[[#This Row],[Convention]], Conventions[Name],Conventions[Required Fields])</f>
        <v>FPID, Title</v>
      </c>
      <c r="R58" s="15" t="str">
        <f>_xlfn.XLOOKUP(Tests[[#This Row],[Convention]], Conventions[Name],Conventions[Optional Fields])</f>
        <v>Subtitle</v>
      </c>
      <c r="S58" s="4">
        <f ca="1">LEN(Tests[[#This Row],[Valid Name]])</f>
        <v>21</v>
      </c>
    </row>
    <row r="59" spans="1:19" x14ac:dyDescent="0.2">
      <c r="A59" s="1" t="s">
        <v>15</v>
      </c>
      <c r="B59" s="1"/>
      <c r="C59" s="1" t="s">
        <v>427</v>
      </c>
      <c r="D59" s="1" t="s">
        <v>51</v>
      </c>
      <c r="E59" s="21"/>
      <c r="F59" s="1"/>
      <c r="G59" s="1"/>
      <c r="H59" s="1"/>
      <c r="I59" s="27"/>
      <c r="J59" s="1"/>
      <c r="K59" s="1"/>
      <c r="L59" s="23"/>
      <c r="M59" s="25"/>
      <c r="N59" s="16"/>
      <c r="O59" s="29" t="str" cm="1">
        <f t="array" aca="1" ref="O59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59" s="4" t="str" cm="1">
        <f t="array" aca="1" ref="P59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201210-9_CCIReqs.pdf</v>
      </c>
      <c r="Q59" s="7" t="str">
        <f>_xlfn.XLOOKUP(Tests[[#This Row],[Convention]], Conventions[Name],Conventions[Required Fields])</f>
        <v>FPID, Title</v>
      </c>
      <c r="R59" s="15" t="str">
        <f>_xlfn.XLOOKUP(Tests[[#This Row],[Convention]], Conventions[Name],Conventions[Optional Fields])</f>
        <v>Subtitle</v>
      </c>
      <c r="S59" s="4">
        <f ca="1">LEN(Tests[[#This Row],[Valid Name]])</f>
        <v>20</v>
      </c>
    </row>
    <row r="60" spans="1:19" x14ac:dyDescent="0.2">
      <c r="A60" s="1" t="s">
        <v>8</v>
      </c>
      <c r="B60" s="1"/>
      <c r="C60" s="1" t="s">
        <v>427</v>
      </c>
      <c r="D60" s="1" t="s">
        <v>51</v>
      </c>
      <c r="E60" s="21"/>
      <c r="F60" s="1"/>
      <c r="G60" s="1"/>
      <c r="H60" s="1"/>
      <c r="I60" s="27"/>
      <c r="J60" s="1"/>
      <c r="K60" s="1"/>
      <c r="L60" s="23"/>
      <c r="M60" s="25"/>
      <c r="N60" s="16"/>
      <c r="O60" s="29" t="str" cm="1">
        <f t="array" aca="1" ref="O60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60" s="4" t="str" cm="1">
        <f t="array" aca="1" ref="P60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201210-9_MinRdwyBaseElev.pdf</v>
      </c>
      <c r="Q60" s="7" t="str">
        <f>_xlfn.XLOOKUP(Tests[[#This Row],[Convention]], Conventions[Name],Conventions[Required Fields])</f>
        <v>FPID, Title</v>
      </c>
      <c r="R60" s="15" t="str">
        <f>_xlfn.XLOOKUP(Tests[[#This Row],[Convention]], Conventions[Name],Conventions[Optional Fields])</f>
        <v>Subtitle</v>
      </c>
      <c r="S60" s="4">
        <f ca="1">LEN(Tests[[#This Row],[Valid Name]])</f>
        <v>28</v>
      </c>
    </row>
    <row r="61" spans="1:19" x14ac:dyDescent="0.2">
      <c r="A61" s="1" t="s">
        <v>417</v>
      </c>
      <c r="B61" s="1"/>
      <c r="C61" s="1" t="s">
        <v>427</v>
      </c>
      <c r="D61" s="1" t="s">
        <v>51</v>
      </c>
      <c r="E61" s="21"/>
      <c r="F61" s="1"/>
      <c r="G61" s="1"/>
      <c r="H61" s="1"/>
      <c r="I61" s="27"/>
      <c r="J61" s="1"/>
      <c r="K61" s="1"/>
      <c r="L61" s="23"/>
      <c r="M61" s="25"/>
      <c r="N61" s="16"/>
      <c r="O61" s="29" t="str" cm="1">
        <f t="array" aca="1" ref="O61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61" s="4" t="str" cm="1">
        <f t="array" aca="1" ref="P61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201210-9_BrightlineDraftDsgnCriteria.pdf</v>
      </c>
      <c r="Q61" s="7" t="str">
        <f>_xlfn.XLOOKUP(Tests[[#This Row],[Convention]], Conventions[Name],Conventions[Required Fields])</f>
        <v>FPID, Title</v>
      </c>
      <c r="R61" s="15" t="str">
        <f>_xlfn.XLOOKUP(Tests[[#This Row],[Convention]], Conventions[Name],Conventions[Optional Fields])</f>
        <v>Subtitle</v>
      </c>
      <c r="S61" s="4">
        <f ca="1">LEN(Tests[[#This Row],[Valid Name]])</f>
        <v>40</v>
      </c>
    </row>
    <row r="62" spans="1:19" x14ac:dyDescent="0.2">
      <c r="A62" s="1" t="s">
        <v>418</v>
      </c>
      <c r="B62" s="1"/>
      <c r="C62" s="1" t="s">
        <v>427</v>
      </c>
      <c r="D62" s="1" t="s">
        <v>51</v>
      </c>
      <c r="E62" s="21"/>
      <c r="F62" s="1"/>
      <c r="G62" s="1"/>
      <c r="H62" s="1"/>
      <c r="I62" s="27"/>
      <c r="J62" s="1"/>
      <c r="K62" s="1"/>
      <c r="L62" s="23"/>
      <c r="M62" s="25"/>
      <c r="N62" s="16"/>
      <c r="O62" s="29" t="str" cm="1">
        <f t="array" aca="1" ref="O62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62" s="4" t="str" cm="1">
        <f t="array" aca="1" ref="P62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201210-9_BrightlineTypSections.pdf</v>
      </c>
      <c r="Q62" s="7" t="str">
        <f>_xlfn.XLOOKUP(Tests[[#This Row],[Convention]], Conventions[Name],Conventions[Required Fields])</f>
        <v>FPID, Title</v>
      </c>
      <c r="R62" s="15" t="str">
        <f>_xlfn.XLOOKUP(Tests[[#This Row],[Convention]], Conventions[Name],Conventions[Optional Fields])</f>
        <v>Subtitle</v>
      </c>
      <c r="S62" s="4">
        <f ca="1">LEN(Tests[[#This Row],[Valid Name]])</f>
        <v>34</v>
      </c>
    </row>
    <row r="63" spans="1:19" x14ac:dyDescent="0.2">
      <c r="A63" s="1" t="s">
        <v>419</v>
      </c>
      <c r="B63" s="1"/>
      <c r="C63" s="1" t="s">
        <v>500</v>
      </c>
      <c r="D63" s="1"/>
      <c r="E63" s="21"/>
      <c r="F63" s="1"/>
      <c r="G63" s="1"/>
      <c r="H63" s="1"/>
      <c r="I63" s="27"/>
      <c r="J63" s="1"/>
      <c r="K63" s="1"/>
      <c r="L63" s="23"/>
      <c r="M63" s="25"/>
      <c r="N63" s="16"/>
      <c r="O63" s="29" t="str" cm="1">
        <f t="array" aca="1" ref="O63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63" s="4" t="str" cm="1">
        <f t="array" aca="1" ref="P63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MI4_InterimDrngTypSection.pdf</v>
      </c>
      <c r="Q63" s="7" t="str">
        <f>_xlfn.XLOOKUP(Tests[[#This Row],[Convention]], Conventions[Name],Conventions[Required Fields])</f>
        <v>Title</v>
      </c>
      <c r="R63" s="15" t="str">
        <f>_xlfn.XLOOKUP(Tests[[#This Row],[Convention]], Conventions[Name],Conventions[Optional Fields])</f>
        <v>Subtitle</v>
      </c>
      <c r="S63" s="4">
        <f ca="1">LEN(Tests[[#This Row],[Valid Name]])</f>
        <v>29</v>
      </c>
    </row>
    <row r="64" spans="1:19" x14ac:dyDescent="0.2">
      <c r="A64" s="1" t="s">
        <v>9</v>
      </c>
      <c r="B64" s="1"/>
      <c r="C64" s="1" t="s">
        <v>427</v>
      </c>
      <c r="D64" s="1" t="s">
        <v>51</v>
      </c>
      <c r="E64" s="21"/>
      <c r="F64" s="1"/>
      <c r="G64" s="1"/>
      <c r="H64" s="1"/>
      <c r="I64" s="27"/>
      <c r="J64" s="1"/>
      <c r="K64" s="1"/>
      <c r="L64" s="23"/>
      <c r="M64" s="25"/>
      <c r="N64" s="16"/>
      <c r="O64" s="29" t="str" cm="1">
        <f t="array" aca="1" ref="O64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64" s="4" t="str" cm="1">
        <f t="array" aca="1" ref="P64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201210-9_HistoricalUtilInfo.pdf</v>
      </c>
      <c r="Q64" s="7" t="str">
        <f>_xlfn.XLOOKUP(Tests[[#This Row],[Convention]], Conventions[Name],Conventions[Required Fields])</f>
        <v>FPID, Title</v>
      </c>
      <c r="R64" s="15" t="str">
        <f>_xlfn.XLOOKUP(Tests[[#This Row],[Convention]], Conventions[Name],Conventions[Optional Fields])</f>
        <v>Subtitle</v>
      </c>
      <c r="S64" s="4">
        <f ca="1">LEN(Tests[[#This Row],[Valid Name]])</f>
        <v>31</v>
      </c>
    </row>
    <row r="65" spans="1:19" x14ac:dyDescent="0.2">
      <c r="A65" s="1" t="s">
        <v>430</v>
      </c>
      <c r="B65" s="1"/>
      <c r="C65" s="1" t="s">
        <v>429</v>
      </c>
      <c r="D65" s="1" t="s">
        <v>51</v>
      </c>
      <c r="E65" s="21"/>
      <c r="F65" s="1"/>
      <c r="G65" s="1" t="s">
        <v>420</v>
      </c>
      <c r="H65" s="1" t="s">
        <v>433</v>
      </c>
      <c r="I65" s="27"/>
      <c r="J65" s="1"/>
      <c r="K65" s="1"/>
      <c r="L65" s="23"/>
      <c r="M65" s="25"/>
      <c r="N65" s="16"/>
      <c r="O65" s="29" t="str" cm="1">
        <f t="array" aca="1" ref="O65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65" s="4" t="str" cm="1">
        <f t="array" aca="1" ref="P65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12-34567-P_Permit-SFWMD-ERP.pdf</v>
      </c>
      <c r="Q65" s="7" t="str">
        <f>_xlfn.XLOOKUP(Tests[[#This Row],[Convention]], Conventions[Name],Conventions[Required Fields])</f>
        <v>Permit, Permit ID</v>
      </c>
      <c r="R65" s="15" t="str">
        <f>_xlfn.XLOOKUP(Tests[[#This Row],[Convention]], Conventions[Name],Conventions[Optional Fields])</f>
        <v/>
      </c>
      <c r="S65" s="4">
        <f ca="1">LEN(Tests[[#This Row],[Valid Name]])</f>
        <v>31</v>
      </c>
    </row>
    <row r="66" spans="1:19" x14ac:dyDescent="0.2">
      <c r="A66" s="1" t="s">
        <v>431</v>
      </c>
      <c r="B66" s="1"/>
      <c r="C66" s="1" t="s">
        <v>429</v>
      </c>
      <c r="D66" s="1" t="s">
        <v>51</v>
      </c>
      <c r="E66" s="21"/>
      <c r="F66" s="1"/>
      <c r="G66" s="1" t="s">
        <v>424</v>
      </c>
      <c r="H66" s="1" t="s">
        <v>434</v>
      </c>
      <c r="I66" s="27"/>
      <c r="J66" s="1"/>
      <c r="K66" s="1"/>
      <c r="L66" s="23"/>
      <c r="M66" s="25"/>
      <c r="N66" s="16"/>
      <c r="O66" s="29" t="str" cm="1">
        <f t="array" aca="1" ref="O66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66" s="4" t="str" cm="1">
        <f t="array" aca="1" ref="P66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SAJ-1234-56789_Permit-USACE-404.pdf</v>
      </c>
      <c r="Q66" s="7" t="str">
        <f>_xlfn.XLOOKUP(Tests[[#This Row],[Convention]], Conventions[Name],Conventions[Required Fields])</f>
        <v>Permit, Permit ID</v>
      </c>
      <c r="R66" s="15" t="str">
        <f>_xlfn.XLOOKUP(Tests[[#This Row],[Convention]], Conventions[Name],Conventions[Optional Fields])</f>
        <v/>
      </c>
      <c r="S66" s="4">
        <f ca="1">LEN(Tests[[#This Row],[Valid Name]])</f>
        <v>35</v>
      </c>
    </row>
    <row r="67" spans="1:19" x14ac:dyDescent="0.2">
      <c r="A67" s="1" t="s">
        <v>432</v>
      </c>
      <c r="B67" s="1"/>
      <c r="C67" s="1" t="s">
        <v>429</v>
      </c>
      <c r="D67" s="1" t="s">
        <v>51</v>
      </c>
      <c r="E67" s="21"/>
      <c r="F67" s="1"/>
      <c r="G67" s="1" t="s">
        <v>422</v>
      </c>
      <c r="H67" s="1" t="s">
        <v>426</v>
      </c>
      <c r="I67" s="27"/>
      <c r="J67" s="1"/>
      <c r="K67" s="1"/>
      <c r="L67" s="23"/>
      <c r="M67" s="25"/>
      <c r="N67" s="16"/>
      <c r="O67" s="29" t="str" cm="1">
        <f t="array" aca="1" ref="O67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67" s="4" t="str" cm="1">
        <f t="array" aca="1" ref="P67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43-1234567_Permit-SWFWMD-ERP.pdf</v>
      </c>
      <c r="Q67" s="7" t="str">
        <f>_xlfn.XLOOKUP(Tests[[#This Row],[Convention]], Conventions[Name],Conventions[Required Fields])</f>
        <v>Permit, Permit ID</v>
      </c>
      <c r="R67" s="15" t="str">
        <f>_xlfn.XLOOKUP(Tests[[#This Row],[Convention]], Conventions[Name],Conventions[Optional Fields])</f>
        <v/>
      </c>
      <c r="S67" s="4">
        <f ca="1">LEN(Tests[[#This Row],[Valid Name]])</f>
        <v>32</v>
      </c>
    </row>
    <row r="68" spans="1:19" x14ac:dyDescent="0.2">
      <c r="A68" s="1" t="s">
        <v>428</v>
      </c>
      <c r="B68" s="1"/>
      <c r="C68" s="1" t="s">
        <v>429</v>
      </c>
      <c r="D68" s="1" t="s">
        <v>51</v>
      </c>
      <c r="E68" s="21"/>
      <c r="F68" s="1"/>
      <c r="G68" s="1" t="s">
        <v>423</v>
      </c>
      <c r="H68" s="1" t="s">
        <v>438</v>
      </c>
      <c r="I68" s="27"/>
      <c r="J68" s="1"/>
      <c r="K68" s="1"/>
      <c r="L68" s="23"/>
      <c r="M68" s="25"/>
      <c r="N68" s="16"/>
      <c r="O68" s="29" t="str" cm="1">
        <f t="array" aca="1" ref="O68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68" s="4" t="str" cm="1">
        <f t="array" aca="1" ref="P68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2026-0123456_Permit-USFWS-BO.pdf</v>
      </c>
      <c r="Q68" s="7" t="str">
        <f>_xlfn.XLOOKUP(Tests[[#This Row],[Convention]], Conventions[Name],Conventions[Required Fields])</f>
        <v>Permit, Permit ID</v>
      </c>
      <c r="R68" s="15" t="str">
        <f>_xlfn.XLOOKUP(Tests[[#This Row],[Convention]], Conventions[Name],Conventions[Optional Fields])</f>
        <v/>
      </c>
      <c r="S68" s="4">
        <f ca="1">LEN(Tests[[#This Row],[Valid Name]])</f>
        <v>32</v>
      </c>
    </row>
    <row r="69" spans="1:19" x14ac:dyDescent="0.2">
      <c r="A69" s="1" t="s">
        <v>10</v>
      </c>
      <c r="B69" s="1"/>
      <c r="C69" s="1" t="s">
        <v>427</v>
      </c>
      <c r="D69" s="1" t="s">
        <v>51</v>
      </c>
      <c r="E69" s="21"/>
      <c r="F69" s="1"/>
      <c r="G69" s="1"/>
      <c r="H69" s="1"/>
      <c r="I69" s="27"/>
      <c r="J69" s="1"/>
      <c r="K69" s="1"/>
      <c r="L69" s="23"/>
      <c r="M69" s="25"/>
      <c r="N69" s="16"/>
      <c r="O69" s="29" t="str" cm="1">
        <f t="array" aca="1" ref="O69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69" s="4" t="str" cm="1">
        <f t="array" aca="1" ref="P69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201210-9_HistoricalAsBuiltPlans.pdf</v>
      </c>
      <c r="Q69" s="7" t="str">
        <f>_xlfn.XLOOKUP(Tests[[#This Row],[Convention]], Conventions[Name],Conventions[Required Fields])</f>
        <v>FPID, Title</v>
      </c>
      <c r="R69" s="15" t="str">
        <f>_xlfn.XLOOKUP(Tests[[#This Row],[Convention]], Conventions[Name],Conventions[Optional Fields])</f>
        <v>Subtitle</v>
      </c>
      <c r="S69" s="4">
        <f ca="1">LEN(Tests[[#This Row],[Valid Name]])</f>
        <v>35</v>
      </c>
    </row>
    <row r="70" spans="1:19" x14ac:dyDescent="0.2">
      <c r="A70" s="1" t="s">
        <v>79</v>
      </c>
      <c r="B70" s="1"/>
      <c r="C70" s="1" t="s">
        <v>250</v>
      </c>
      <c r="D70" s="1" t="s">
        <v>51</v>
      </c>
      <c r="E70" s="21"/>
      <c r="F70" s="1" t="s">
        <v>267</v>
      </c>
      <c r="G70" s="1"/>
      <c r="H70" s="1"/>
      <c r="I70" s="27"/>
      <c r="J70" s="1"/>
      <c r="K70" s="1"/>
      <c r="L70" s="23"/>
      <c r="M70" s="25"/>
      <c r="N70" s="16"/>
      <c r="O70" s="29" t="str" cm="1">
        <f t="array" aca="1" ref="O70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70" s="4" t="str" cm="1">
        <f t="array" aca="1" ref="P70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20121095201-CADD.pdf</v>
      </c>
      <c r="Q70" s="7" t="str">
        <f>_xlfn.XLOOKUP(Tests[[#This Row],[Convention]], Conventions[Name],Conventions[Required Fields])</f>
        <v>FPID, Deliverable</v>
      </c>
      <c r="R70" s="15" t="str">
        <f>_xlfn.XLOOKUP(Tests[[#This Row],[Convention]], Conventions[Name],Conventions[Optional Fields])</f>
        <v>Revision ID</v>
      </c>
      <c r="S70" s="4">
        <f ca="1">LEN(Tests[[#This Row],[Valid Name]])</f>
        <v>20</v>
      </c>
    </row>
    <row r="71" spans="1:19" x14ac:dyDescent="0.2">
      <c r="A71" s="1" t="s">
        <v>79</v>
      </c>
      <c r="B71" s="1"/>
      <c r="C71" s="1" t="s">
        <v>251</v>
      </c>
      <c r="D71" s="1" t="s">
        <v>53</v>
      </c>
      <c r="E71" s="21"/>
      <c r="F71" s="1" t="s">
        <v>267</v>
      </c>
      <c r="G71" s="1"/>
      <c r="H71" s="1"/>
      <c r="I71" s="27"/>
      <c r="J71" s="1"/>
      <c r="K71" s="1" t="s">
        <v>268</v>
      </c>
      <c r="L71" s="23"/>
      <c r="M71" s="25"/>
      <c r="N71" s="16"/>
      <c r="O71" s="29" t="str" cm="1">
        <f t="array" aca="1" ref="O71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71" s="4" t="str" cm="1">
        <f t="array" aca="1" ref="P71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45138125201-CADD-15pct.pdf</v>
      </c>
      <c r="Q71" s="7" t="str">
        <f>_xlfn.XLOOKUP(Tests[[#This Row],[Convention]], Conventions[Name],Conventions[Required Fields])</f>
        <v>FPID, Deliverable, Submittal</v>
      </c>
      <c r="R71" s="15" t="str">
        <f>_xlfn.XLOOKUP(Tests[[#This Row],[Convention]], Conventions[Name],Conventions[Optional Fields])</f>
        <v/>
      </c>
      <c r="S71" s="4">
        <f ca="1">LEN(Tests[[#This Row],[Valid Name]])</f>
        <v>26</v>
      </c>
    </row>
    <row r="72" spans="1:19" x14ac:dyDescent="0.2">
      <c r="A72" s="1" t="s">
        <v>242</v>
      </c>
      <c r="B72" s="1"/>
      <c r="C72" s="1" t="s">
        <v>427</v>
      </c>
      <c r="D72" s="1" t="s">
        <v>51</v>
      </c>
      <c r="E72" s="21"/>
      <c r="F72" s="1"/>
      <c r="G72" s="1"/>
      <c r="H72" s="1"/>
      <c r="I72" s="27"/>
      <c r="J72" s="1"/>
      <c r="K72" s="1"/>
      <c r="L72" s="23"/>
      <c r="M72" s="25"/>
      <c r="N72" s="16"/>
      <c r="O72" s="29" t="str" cm="1">
        <f t="array" aca="1" ref="O72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72" s="4" t="str" cm="1">
        <f t="array" aca="1" ref="P72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201210-9_BridgeFeasibilityAssessment.pdf</v>
      </c>
      <c r="Q72" s="7" t="str">
        <f>_xlfn.XLOOKUP(Tests[[#This Row],[Convention]], Conventions[Name],Conventions[Required Fields])</f>
        <v>FPID, Title</v>
      </c>
      <c r="R72" s="15" t="str">
        <f>_xlfn.XLOOKUP(Tests[[#This Row],[Convention]], Conventions[Name],Conventions[Optional Fields])</f>
        <v>Subtitle</v>
      </c>
      <c r="S72" s="4">
        <f ca="1">LEN(Tests[[#This Row],[Valid Name]])</f>
        <v>40</v>
      </c>
    </row>
    <row r="73" spans="1:19" x14ac:dyDescent="0.2">
      <c r="A73" s="1" t="s">
        <v>243</v>
      </c>
      <c r="B73" s="1"/>
      <c r="C73" s="1" t="s">
        <v>250</v>
      </c>
      <c r="D73" s="1" t="s">
        <v>51</v>
      </c>
      <c r="E73" s="21"/>
      <c r="F73" s="1" t="s">
        <v>253</v>
      </c>
      <c r="G73" s="1"/>
      <c r="H73" s="1"/>
      <c r="I73" s="27"/>
      <c r="J73" s="1"/>
      <c r="K73" s="1"/>
      <c r="L73" s="23"/>
      <c r="M73" s="25"/>
      <c r="N73" s="16"/>
      <c r="O73" s="29" t="str" cm="1">
        <f t="array" aca="1" ref="O73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73" s="4" t="str" cm="1">
        <f t="array" aca="1" ref="P73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20121095201-PLANS-01-ROADWAY.pdf</v>
      </c>
      <c r="Q73" s="7" t="str">
        <f>_xlfn.XLOOKUP(Tests[[#This Row],[Convention]], Conventions[Name],Conventions[Required Fields])</f>
        <v>FPID, Deliverable</v>
      </c>
      <c r="R73" s="15" t="str">
        <f>_xlfn.XLOOKUP(Tests[[#This Row],[Convention]], Conventions[Name],Conventions[Optional Fields])</f>
        <v>Revision ID</v>
      </c>
      <c r="S73" s="4">
        <f ca="1">LEN(Tests[[#This Row],[Valid Name]])</f>
        <v>32</v>
      </c>
    </row>
    <row r="74" spans="1:19" x14ac:dyDescent="0.2">
      <c r="A74" s="1" t="s">
        <v>243</v>
      </c>
      <c r="B74" s="1"/>
      <c r="C74" s="1" t="s">
        <v>250</v>
      </c>
      <c r="D74" s="1" t="s">
        <v>53</v>
      </c>
      <c r="E74" s="21"/>
      <c r="F74" s="1" t="s">
        <v>253</v>
      </c>
      <c r="G74" s="1"/>
      <c r="H74" s="1"/>
      <c r="I74" s="27"/>
      <c r="J74" s="1"/>
      <c r="K74" s="1"/>
      <c r="L74" s="23"/>
      <c r="M74" s="25"/>
      <c r="N74" s="16"/>
      <c r="O74" s="29" t="str" cm="1">
        <f t="array" aca="1" ref="O74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74" s="4" t="str" cm="1">
        <f t="array" aca="1" ref="P74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45138125201-PLANS-01-ROADWAY.pdf</v>
      </c>
      <c r="Q74" s="7" t="str">
        <f>_xlfn.XLOOKUP(Tests[[#This Row],[Convention]], Conventions[Name],Conventions[Required Fields])</f>
        <v>FPID, Deliverable</v>
      </c>
      <c r="R74" s="15" t="str">
        <f>_xlfn.XLOOKUP(Tests[[#This Row],[Convention]], Conventions[Name],Conventions[Optional Fields])</f>
        <v>Revision ID</v>
      </c>
      <c r="S74" s="4">
        <f ca="1">LEN(Tests[[#This Row],[Valid Name]])</f>
        <v>32</v>
      </c>
    </row>
    <row r="75" spans="1:19" x14ac:dyDescent="0.2">
      <c r="A75" s="1" t="s">
        <v>244</v>
      </c>
      <c r="B75" s="1"/>
      <c r="C75" s="1" t="s">
        <v>244</v>
      </c>
      <c r="D75" s="1" t="s">
        <v>51</v>
      </c>
      <c r="E75" s="21"/>
      <c r="F75" s="1"/>
      <c r="G75" s="1"/>
      <c r="H75" s="1"/>
      <c r="I75" s="27"/>
      <c r="J75" s="1"/>
      <c r="K75" s="1"/>
      <c r="L75" s="23"/>
      <c r="M75" s="25"/>
      <c r="N75" s="16"/>
      <c r="O75" s="29" t="str" cm="1">
        <f t="array" aca="1" ref="O75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75" s="4" t="str" cm="1">
        <f t="array" aca="1" ref="P75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20121095201-GuideSignWorksheets.pdf</v>
      </c>
      <c r="Q75" s="7" t="str">
        <f>_xlfn.XLOOKUP(Tests[[#This Row],[Convention]], Conventions[Name],Conventions[Required Fields])</f>
        <v>FPID</v>
      </c>
      <c r="R75" s="15" t="str">
        <f>_xlfn.XLOOKUP(Tests[[#This Row],[Convention]], Conventions[Name],Conventions[Optional Fields])</f>
        <v/>
      </c>
      <c r="S75" s="4">
        <f ca="1">LEN(Tests[[#This Row],[Valid Name]])</f>
        <v>35</v>
      </c>
    </row>
    <row r="76" spans="1:19" x14ac:dyDescent="0.2">
      <c r="A76" s="1" t="s">
        <v>245</v>
      </c>
      <c r="B76" s="1"/>
      <c r="C76" s="1" t="s">
        <v>427</v>
      </c>
      <c r="D76" s="1" t="s">
        <v>51</v>
      </c>
      <c r="E76" s="21"/>
      <c r="F76" s="1"/>
      <c r="G76" s="1"/>
      <c r="H76" s="1"/>
      <c r="I76" s="27"/>
      <c r="J76" s="1"/>
      <c r="K76" s="1"/>
      <c r="L76" s="23"/>
      <c r="M76" s="25"/>
      <c r="N76" s="16"/>
      <c r="O76" s="29" t="str" cm="1">
        <f t="array" aca="1" ref="O76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76" s="4" t="str" cm="1">
        <f t="array" aca="1" ref="P76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201210-9_MaintAccessExhibit.pdf</v>
      </c>
      <c r="Q76" s="7" t="str">
        <f>_xlfn.XLOOKUP(Tests[[#This Row],[Convention]], Conventions[Name],Conventions[Required Fields])</f>
        <v>FPID, Title</v>
      </c>
      <c r="R76" s="15" t="str">
        <f>_xlfn.XLOOKUP(Tests[[#This Row],[Convention]], Conventions[Name],Conventions[Optional Fields])</f>
        <v>Subtitle</v>
      </c>
      <c r="S76" s="4">
        <f ca="1">LEN(Tests[[#This Row],[Valid Name]])</f>
        <v>31</v>
      </c>
    </row>
    <row r="77" spans="1:19" x14ac:dyDescent="0.2">
      <c r="A77" s="5" t="s">
        <v>320</v>
      </c>
      <c r="B77" s="5"/>
      <c r="C77" s="1" t="s">
        <v>427</v>
      </c>
      <c r="D77" s="5" t="s">
        <v>51</v>
      </c>
      <c r="E77" s="22"/>
      <c r="F77" s="5"/>
      <c r="G77" s="5"/>
      <c r="H77" s="5"/>
      <c r="I77" s="28"/>
      <c r="J77" s="5"/>
      <c r="K77" s="5"/>
      <c r="L77" s="24"/>
      <c r="M77" s="26"/>
      <c r="N77" s="16"/>
      <c r="O77" s="29" t="str" cm="1">
        <f t="array" aca="1" ref="O77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77" s="6" t="str" cm="1">
        <f t="array" aca="1" ref="P77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201210-9_ITSConceptOfOperations.pdf</v>
      </c>
      <c r="Q77" s="8" t="str">
        <f>_xlfn.XLOOKUP(Tests[[#This Row],[Convention]], Conventions[Name],Conventions[Required Fields])</f>
        <v>FPID, Title</v>
      </c>
      <c r="R77" s="14" t="str">
        <f>_xlfn.XLOOKUP(Tests[[#This Row],[Convention]], Conventions[Name],Conventions[Optional Fields])</f>
        <v>Subtitle</v>
      </c>
      <c r="S77" s="4">
        <f ca="1">LEN(Tests[[#This Row],[Valid Name]])</f>
        <v>35</v>
      </c>
    </row>
    <row r="78" spans="1:19" x14ac:dyDescent="0.2">
      <c r="A78" s="5" t="s">
        <v>11</v>
      </c>
      <c r="B78" s="5"/>
      <c r="C78" s="1" t="s">
        <v>427</v>
      </c>
      <c r="D78" s="5" t="s">
        <v>51</v>
      </c>
      <c r="E78" s="22"/>
      <c r="F78" s="5"/>
      <c r="G78" s="5"/>
      <c r="H78" s="5"/>
      <c r="I78" s="28"/>
      <c r="J78" s="5"/>
      <c r="K78" s="5"/>
      <c r="L78" s="24"/>
      <c r="M78" s="26"/>
      <c r="N78" s="17"/>
      <c r="O78" s="29" t="str" cm="1">
        <f t="array" aca="1" ref="O78" ca="1">_xlfn.LET(
    _xlpm.ReqFields, _xlfn.TEXTSPLIT(Tests[[#This Row],[Required Fields]], ", "),
    _xlpm.Missing, _xlfn.MAP(_xlpm.ReqFields, _xlfn.LAMBDA(_xlpm.f,
        IF(_xlpm.f="Formatted Date", "",
            _xlfn.LET(
                _xlpm.fieldType, IFERROR(_xlfn.XLOOKUP(_xlpm.f, Fields[Name], Fields[Type]), ""),
                IF(_xlpm.fieldType="Lookup", "",
                    _xlfn.LET(
                        _xlpm.val, IFERROR(INDIRECT("Tests[@["&amp;_xlpm.f&amp;"]]"), ""),
                        IF(_xlpm.val="", _xlpm.f, "")
                    )
                )
            )
        )
    )),
    _xlpm.Invalid, _xlfn.MAP(_xlpm.ReqFields, _xlfn.LAMBDA(_xlpm.f,
        _xlfn.LET(
            _xlpm.fieldType, IFERROR(_xlfn.XLOOKUP(_xlpm.f, Fields[Name], Fields[Type]), ""),
            IF(_xlpm.fieldType="Lookup", "",
                _xlfn.LET(
                    _xlpm.val, IFERROR(INDIRECT("Tests[@["&amp;_xlpm.f&amp;"]]"), ""),
                    _xlpm.fieldValidation, IFERROR(_xlfn.XLOOKUP(_xlpm.f, Fields[Name], Fields[Validation]), ""),
                    IF(_xlpm.val="", "",
                        IF(_xlpm.fieldValidation="", "",
                            IF(_xlpm.fieldType="Number",
                                IF(_xlfn.REGEXTEST(TEXT(_xlpm.val, "0"), _xlpm.fieldValidation), "", _xlpm.f),
                                IF(_xlpm.fieldType="Select",
                                    IF(ISNUMBER(MATCH(_xlpm.val, INDIRECT(_xlpm.fieldValidation), 0)), "", _xlpm.f),
                                    IF(_xlpm.fieldType="Text",
                                        IF(ISNUMBER(FIND(":", _xlpm.fieldValidation)),
                                            _xlfn.LET(
                                                _xlpm.parts, _xlfn.TEXTSPLIT(_xlpm.fieldValidation, ":"),
                                                _xlpm.regexSource, INDEX(_xlpm.parts, 1, 1),
                                                _xlpm.lookupField, INDEX(_xlpm.parts, 1, 2),
                                                _xlpm.lookupValue, IFERROR(INDIRECT("Tests[@["&amp;_xlpm.lookupField&amp;"]]"), ""),
                                                _xlpm.regex, IFERROR(_xlfn.XLOOKUP(_xlpm.lookupValue, INDIRECT(LEFT(_xlpm.regexSource, FIND("[", _xlpm.regexSource)-1)&amp;"[Name]"), INDIRECT(_xlpm.regexSource)), ""),
                                                IF(_xlpm.regex="", "", IF(_xlfn.REGEXTEST(_xlpm.val, _xlpm.regex), "", _xlpm.f))
                                            ),
                                            IF(_xlfn.REGEXTEST(_xlpm.val, _xlpm.fieldValidation), "", _xlpm.f)
                                        ),
                                        ""
                                    )
                                )
                            )
                        )
                    )
                )
            )
        )
    )),
    _xlpm.MissingResult, _xlfn.TEXTJOIN(", ", TRUE, _xlpm.Missing),
    _xlpm.InvalidResult, _xlfn.TEXTJOIN(", ", TRUE, _xlpm.Invalid),
    _xlfn.TEXTJOIN(" | ", TRUE,
        IF(_xlpm.MissingResult&lt;&gt;"", "⚠️ MISSING: " &amp; _xlpm.MissingResult, ""),
        IF(_xlpm.InvalidResult&lt;&gt;"", "⚠️ INVALID: " &amp; _xlpm.InvalidResult, "")
    )
)</f>
        <v/>
      </c>
      <c r="P78" s="6" t="str" cm="1">
        <f t="array" aca="1" ref="P78" ca="1">_xlfn.LET(
    _xlpm.Validation, Tests[[#This Row],[Validation]],
    IF(_xlpm.Validation&lt;&gt;"", _xlpm.Validation,
        _xlfn.LET(
            _xlpm.Format, _xlfn.XLOOKUP(Tests[[#This Row],[Convention]], Conventions[Name], Conventions[Format]),
            _xlpm.Extension, _xlfn.XLOOKUP(Tests[[#This Row],[Convention]], Conventions[Name], Conventions[Extension(s)]),
            _xlpm.SpecialChars, {"(",")","/","\","&amp;","#","@","!","%","$","+","=","[","]","{","}",".",";",":","'",""""},
            _xlpm.CleanCap, _xlfn.LAMBDA(_xlpm.txt,
                _xlfn.LET(
                    _xlpm.abbrKeys, Abbr[Key],
                    _xlpm.abbrVals, Abbr[Value],
                    _xlpm.sortedKeys, _xlfn.SORTBY(_xlpm.abbrKeys, _xlfn.MAP(_xlpm.abbrKeys, _xlfn.LAMBDA(_xlpm.k, LEN(_xlpm.k))), -1),
                    _xlpm.sortedVals, _xlfn.SORTBY(_xlpm.abbrVals, _xlfn.MAP(_xlpm.abbrKeys, _xlfn.LAMBDA(_xlpm.k, LEN(_xlpm.k))), -1),
                    _xlpm.N, ROWS(_xlpm.sortedKeys),
                    _xlpm.abbreviated, _xlfn.REDUCE(_xlpm.txt, _xlfn.SEQUENCE(_xlpm.N), _xlfn.LAMBDA(_xlpm.acc,_xlpm.i,
                        SUBSTITUTE(_xlpm.acc, INDEX(_xlpm.sortedKeys, _xlpm.i, 1), INDEX(_xlpm.sortedVals, _xlpm.i, 1))
                    )),
                    _xlpm.spaced, SUBSTITUTE(SUBSTITUTE(_xlpm.abbreviated, "-", " "), ",", " "),
                    _xlpm.stripped, _xlfn.REDUCE(SUBSTITUTE(_xlpm.spaced, "%", "pct"), _xlpm.SpecialChars, _xlfn.LAMBDA(_xlpm.acc,_xlpm.ch, SUBSTITUTE(_xlpm.acc, _xlpm.ch, ""))),
                    _xlpm.words, _xlfn.TEXTSPLIT(TRIM(CLEAN(_xlpm.stripped)), " "),
                    _xlpm.capped, _xlfn.MAP(_xlpm.words, _xlfn.LAMBDA(_xlpm.w,
                        _xlfn.LET(_xlpm.uppers, SUMPRODUCT((EXACT(MID(_xlpm.w, _xlfn.SEQUENCE(LEN(_xlpm.w)), 1), UPPER(MID(_xlpm.w, _xlfn.SEQUENCE(LEN(_xlpm.w)), 1))))*1),
                            IF(_xlpm.uppers &gt;= LEN(_xlpm.w)-1, _xlpm.w, UPPER(LEFT(_xlpm.w,1)) &amp; LOWER(MID(_xlpm.w,2,LEN(_xlpm.w)-1))))
                    )),
                    _xlfn.TEXTJOIN("", TRUE, _xlpm.capped)
                )
            ),
            _xlpm.ResolveLookup, _xlfn.LAMBDA(_xlpm.fieldName,
                IFERROR(_xlfn.LET(
                    _xlpm.fieldType, _xlfn.XLOOKUP(_xlpm.fieldName, Fields[Name], Fields[Type]),
                    _xlpm.fieldVal, _xlfn.XLOOKUP(_xlpm.fieldName, Fields[Name], Fields[Validation]),
                    IF(_xlpm.fieldType="Lookup",
                        _xlfn.LET(
                            _xlpm.lookupArr, LEFT(_xlpm.fieldVal, FIND(":", _xlpm.fieldVal)-1),
                            _xlpm.rest, MID(_xlpm.fieldVal, FIND(":", _xlpm.fieldVal)+1, LEN(_xlpm.fieldVal)),
                            _xlpm.sourceField, LEFT(_xlpm.rest, FIND("-&gt;", _xlpm.rest)-1),
                            _xlpm.returnArr, MID(_xlpm.rest, FIND("-&gt;", _xlpm.rest)+2, LEN(_xlpm.rest)),
                            _xlpm.sourceValue, IFERROR(INDIRECT("Tests[@["&amp;_xlpm.sourceField&amp;"]]"), ""),
                            _xlfn.XLOOKUP(_xlpm.sourceValue, INDIRECT(_xlpm.lookupArr), INDIRECT(_xlpm.returnArr))
                        ),
                        ""
                    )
                ), "")
            ),
            _xlpm.FormatValue, _xlfn.LAMBDA(_xlpm.fn,_xlpm.rv,
                _xlfn.LET(_xlpm.ft, IFERROR(_xlfn.XLOOKUP(_xlpm.fn, Fields[Name], Fields[Type]), ""),
                    _xlpm.ff, IFERROR(_xlfn.XLOOKUP(_xlpm.fn, Fields[Name], Fields[Format]), ""),
                    IF(_xlpm.ff="", _xlpm.rv, IF(_xlpm.ft="Number", TEXT(_xlpm.rv, _xlpm.ff), _xlpm.rv)))
            ),
            _xlpm.Tokens, _xlfn.TEXTJOIN("§", TRUE, _xlfn.TEXTSPLIT(_xlpm.Format, "[")),
            _xlpm.FieldRefs, _xlfn.TEXTSPLIT(_xlpm.Tokens, "§"),
            _xlpm.Result, _xlfn.REDUCE(_xlpm.Format, _xlpm.FieldRefs, _xlfn.LAMBDA(_xlpm.acc,_xlpm.token,
                IF(ISNUMBER(FIND("]", _xlpm.token)),
                    _xlfn.LET(
                        _xlpm.fieldName, LEFT(_xlpm.token, FIND("]", _xlpm.token)-1),
                        _xlpm.hasOpt, ISNUMBER(FIND("(", _xlpm.fieldName)),
                        _xlpm.baseField, IF(_xlpm.hasOpt, LEFT(_xlpm.fieldName, FIND("(", _xlpm.fieldName)-1), _xlpm.fieldName),
                        _xlpm.optPart, IF(_xlpm.hasOpt,
                            _xlfn.LET(
                                _xlpm.inner, MID(_xlpm.fieldName, FIND("(", _xlpm.fieldName)+1, FIND(")", _xlpm.fieldName)-FIND("(", _xlpm.fieldName)-1),
                                _xlpm.oSep, LEFT(_xlpm.inner, 1),
                                _xlpm.oFld, MID(_xlpm.inner, 2, LEN(_xlpm.inner)-1),
                                _xlpm.oLkp, _xlpm.ResolveLookup(_xlpm.oFld),
                                _xlpm.oRaw, IF(_xlpm.oLkp&lt;&gt;"", _xlpm.oLkp, IFERROR(INDIRECT("Tests[@["&amp;_xlpm.oFld&amp;"]]"), "")),
                                IF(_xlpm.oRaw="", "",
                                    _xlfn.LET(_xlpm.oFmt, _xlpm.FormatValue(_xlpm.oFld, _xlpm.oRaw),
                                        _xlpm.oSep &amp; IF(OR(_xlpm.oFld="Title", _xlpm.oFld="Subtitle"), _xlpm.CleanCap(_xlpm.oFmt), _xlpm.oFmt)))
                            ), ""),
                        _xlpm.lkp, _xlpm.ResolveLookup(_xlpm.baseField),
                        _xlpm.raw, IF(_xlpm.lkp&lt;&gt;"", _xlpm.lkp, IF(_xlpm.baseField="Date", TEXT(TODAY(), "YYYY-MM-DD"), IFERROR(INDIRECT("Tests[@["&amp;_xlpm.baseField&amp;"]]"), ""))),
                        _xlpm.fmt, _xlpm.FormatValue(_xlpm.baseField, _xlpm.raw),
                        _xlpm.fVal, IF(OR(_xlpm.baseField="Title", _xlpm.baseField="Subtitle"), _xlpm.CleanCap(_xlpm.fmt) &amp; _xlpm.optPart, _xlpm.fmt &amp; _xlpm.optPart),
                        SUBSTITUTE(_xlpm.acc, "["&amp;_xlpm.fieldName&amp;"]", _xlpm.fVal)
                    ), _xlpm.acc)
            )),
            _xlpm.Result &amp; "." &amp; _xlpm.Extension
        )
    )
)</f>
        <v>201210-9_HistoricalPDEInfo.pdf</v>
      </c>
      <c r="Q78" s="8" t="str">
        <f>_xlfn.XLOOKUP(Tests[[#This Row],[Convention]], Conventions[Name],Conventions[Required Fields])</f>
        <v>FPID, Title</v>
      </c>
      <c r="R78" s="14" t="str">
        <f>_xlfn.XLOOKUP(Tests[[#This Row],[Convention]], Conventions[Name],Conventions[Optional Fields])</f>
        <v>Subtitle</v>
      </c>
      <c r="S78" s="4">
        <f ca="1">LEN(Tests[[#This Row],[Valid Name]])</f>
        <v>30</v>
      </c>
    </row>
  </sheetData>
  <phoneticPr fontId="3" type="noConversion"/>
  <conditionalFormatting sqref="O2:P78">
    <cfRule type="containsText" dxfId="0" priority="1" stopIfTrue="1" operator="containsText" text="⚠️">
      <formula>NOT(ISERROR(SEARCH("⚠️",O2)))</formula>
    </cfRule>
  </conditionalFormatting>
  <conditionalFormatting sqref="S2:S78">
    <cfRule type="iconSet" priority="19">
      <iconSet iconSet="3Flags" reverse="1">
        <cfvo type="percent" val="0"/>
        <cfvo type="num" val="40"/>
        <cfvo type="num" val="48"/>
      </iconSet>
    </cfRule>
  </conditionalFormatting>
  <dataValidations count="6">
    <dataValidation type="list" allowBlank="1" showInputMessage="1" showErrorMessage="1" sqref="C2:C78" xr:uid="{A8247278-FA93-481F-B5A1-6A0CBCA0CB09}">
      <formula1>INDIRECT("Conventions[Name]")</formula1>
    </dataValidation>
    <dataValidation type="list" allowBlank="1" showInputMessage="1" showErrorMessage="1" sqref="D2:D78" xr:uid="{5A2C3C27-C8C5-4202-84BC-C48121E67C83}">
      <formula1>INDIRECT("FPIDs[FPID]")</formula1>
    </dataValidation>
    <dataValidation type="list" allowBlank="1" showInputMessage="1" showErrorMessage="1" sqref="J2:J78" xr:uid="{86BF5FA0-E99E-4C9E-94A6-85B2EAF6549D}">
      <formula1>INDIRECT("Projects[Name]")</formula1>
    </dataValidation>
    <dataValidation type="list" allowBlank="1" showInputMessage="1" showErrorMessage="1" sqref="K2:K78" xr:uid="{36A36A76-F869-4492-B669-E93FFC7E06D2}">
      <formula1>INDIRECT("Submittals[Name]")</formula1>
    </dataValidation>
    <dataValidation type="list" allowBlank="1" showInputMessage="1" showErrorMessage="1" sqref="F2:F78" xr:uid="{65A0BCCC-DE86-4DAD-AF84-583510AF8ACA}">
      <formula1>INDIRECT("Deliverables[Name]")</formula1>
    </dataValidation>
    <dataValidation type="list" allowBlank="1" showInputMessage="1" showErrorMessage="1" sqref="G2:G78" xr:uid="{D32970B3-0F35-40D2-A823-5D5F6460ADEB}">
      <formula1>INDIRECT("Permits[Name]")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95E5-A832-420B-A428-953558FD9851}">
  <sheetPr>
    <tabColor theme="9" tint="0.59999389629810485"/>
  </sheetPr>
  <dimension ref="A1:I10"/>
  <sheetViews>
    <sheetView zoomScaleNormal="100" workbookViewId="0">
      <selection activeCell="F28" sqref="F28"/>
    </sheetView>
  </sheetViews>
  <sheetFormatPr baseColWidth="10" defaultColWidth="8.83203125" defaultRowHeight="15" x14ac:dyDescent="0.2"/>
  <cols>
    <col min="1" max="1" width="33.83203125" bestFit="1" customWidth="1"/>
    <col min="2" max="2" width="33.83203125" customWidth="1"/>
    <col min="3" max="3" width="36" bestFit="1" customWidth="1"/>
    <col min="4" max="4" width="13.33203125" bestFit="1" customWidth="1"/>
    <col min="5" max="5" width="61.83203125" bestFit="1" customWidth="1"/>
    <col min="6" max="6" width="52.83203125" bestFit="1" customWidth="1"/>
    <col min="7" max="7" width="44.83203125" customWidth="1"/>
    <col min="8" max="8" width="27.5" bestFit="1" customWidth="1"/>
    <col min="9" max="9" width="21.33203125" bestFit="1" customWidth="1"/>
    <col min="10" max="10" width="13.33203125" customWidth="1"/>
  </cols>
  <sheetData>
    <row r="1" spans="1:9" x14ac:dyDescent="0.2">
      <c r="A1" t="s">
        <v>0</v>
      </c>
      <c r="B1" t="s">
        <v>12</v>
      </c>
      <c r="C1" t="s">
        <v>111</v>
      </c>
      <c r="D1" t="s">
        <v>83</v>
      </c>
      <c r="E1" t="s">
        <v>448</v>
      </c>
      <c r="F1" t="s">
        <v>115</v>
      </c>
      <c r="G1" t="s">
        <v>440</v>
      </c>
      <c r="H1" t="s">
        <v>471</v>
      </c>
      <c r="I1" t="s">
        <v>503</v>
      </c>
    </row>
    <row r="2" spans="1:9" x14ac:dyDescent="0.2">
      <c r="A2" s="1" t="s">
        <v>112</v>
      </c>
      <c r="B2" s="1"/>
      <c r="C2" s="1" t="s">
        <v>488</v>
      </c>
      <c r="D2" s="2" t="s">
        <v>113</v>
      </c>
      <c r="E2" s="2" t="s">
        <v>482</v>
      </c>
      <c r="F2" s="18" t="str" cm="1">
        <f t="array" ref="F2">_xlfn.LET(
    _xlpm.AllRequired, _xlfn._xlws.FILTER(Rules[Field], (Rules[Convention]=Conventions[[#This Row],[Name]]) * (Rules[Required]=TRUE), ""),
    _xlpm.NonLookup, _xlfn.MAP(_xlpm.AllRequired, _xlfn.LAMBDA(_xlpm.f,
        IF(IFERROR(_xlfn.XLOOKUP(_xlpm.f, Fields[Name], Fields[Type]), "")="Lookup", "", _xlpm.f)
    )),
    _xlfn.TEXTJOIN(", ", TRUE, _xlpm.NonLookup)
)</f>
        <v>FPID, Title, Date</v>
      </c>
      <c r="G2" s="18" t="str" cm="1">
        <f t="array" ref="G2">_xlfn.LET(
    _xlpm.AllOptional, _xlfn._xlws.FILTER(Rules[Field], (Rules[Convention]=Conventions[[#This Row],[Name]]) * (Rules[Required]=FALSE), ""),
    _xlpm.NonLookup, _xlfn.MAP(_xlpm.AllOptional, _xlfn.LAMBDA(_xlpm.f,
        IF(IFERROR(_xlfn.XLOOKUP(_xlpm.f, Fields[Name], Fields[Type]), "")="Lookup", "", _xlpm.f)
    )),
    _xlfn.TEXTJOIN(", ", TRUE, _xlpm.NonLookup)
)</f>
        <v>Subtitle</v>
      </c>
      <c r="H2" s="13" t="str" cm="1">
        <f t="array" ref="H2">_xlfn.LET(
    _xlpm.AllRuleFields, _xlfn._xlws.FILTER(Rules[Field], Rules[Convention]=Conventions[[#This Row],[Name]], ""),
    _xlpm.LookupDefs, _xlfn.MAP(_xlpm.AllRuleFields, _xlfn.LAMBDA(_xlpm.f,
        _xlfn.LET(
            _xlpm.fieldType, IFERROR(_xlfn.XLOOKUP(_xlpm.f, Fields[Name], Fields[Type]), ""),
            IF(_xlpm.fieldType="Lookup", _xlpm.f, "")
        )
    )),
    _xlfn.TEXTJOIN(", ", TRUE, _xlpm.LookupDefs)
)</f>
        <v/>
      </c>
      <c r="I2" s="18" t="str" cm="1">
        <f t="array" ref="I2">_xlfn.LET(
    _xlpm.Format, Conventions[[#This Row],[Format]],
    _xlpm.ReqFields, IF(Conventions[[#This Row],[Required Fields]]&lt;&gt;"", _xlfn.TEXTSPLIT(Conventions[[#This Row],[Required Fields]], ", "), ""),
    _xlpm.OptFields, IF(Conventions[[#This Row],[Optional Fields]]&lt;&gt;"", _xlfn.TEXTSPLIT(Conventions[[#This Row],[Optional Fields]], ", "), ""),
    _xlpm.LookupFields, IF(Conventions[[#This Row],[Lookups]]&lt;&gt;"", _xlfn.TEXTSPLIT(Conventions[[#This Row],[Lookups]], ", "), ""),
    _xlpm.Tokens, _xlfn.TEXTJOIN("§", TRUE, _xlfn.TEXTSPLIT(_xlpm.Format, "[")),
    _xlpm.FieldRefs, _xlfn.TEXTSPLIT(_xlpm.Tokens, "§"),
    _xlpm.FormatFields, _xlfn.MAP(_xlpm.FieldRefs, _xlfn.LAMBDA(_xlpm.token,
        IF(ISNUMBER(FIND("]", _xlpm.token)),
            _xlfn.LET(
                _xlpm.fieldName, LEFT(_xlpm.token, FIND("]", _xlpm.token)-1),
                IF(ISNUMBER(FIND("(", _xlpm.fieldName)),
                    LEFT(_xlpm.fieldName, FIND("(", _xlpm.fieldName)-1),
                    _xlpm.fieldName
                )
            ),
            ""
        )
    )),
    _xlpm.Unmatched, _xlfn.MAP(_xlpm.FormatFields, _xlfn.LAMBDA(_xlpm.f,
        IF(_xlpm.f="", "",
            IF(ISNUMBER(MATCH(_xlpm.f, _xlpm.ReqFields, 0)), "",
                IF(ISNUMBER(MATCH(_xlpm.f, _xlpm.OptFields, 0)), "",
                    IF(ISNUMBER(MATCH(_xlpm.f, _xlpm.LookupFields, 0)), "",
                        _xlpm.f
                    )
                )
            )
        )
    )),
    _xlpm.Result, _xlfn.TEXTJOIN(", ", TRUE, _xlpm.Unmatched),
    IF(_xlpm.Result="", "✓", "⚠️ UNMATCHED: " &amp; _xlpm.Result)
)</f>
        <v>✓</v>
      </c>
    </row>
    <row r="3" spans="1:9" x14ac:dyDescent="0.2">
      <c r="A3" s="1" t="s">
        <v>250</v>
      </c>
      <c r="B3" s="1"/>
      <c r="C3" s="1" t="s">
        <v>487</v>
      </c>
      <c r="D3" s="2" t="s">
        <v>109</v>
      </c>
      <c r="E3" s="2" t="s">
        <v>474</v>
      </c>
      <c r="F3" s="18" t="str" cm="1">
        <f t="array" ref="F3">_xlfn.LET(
    _xlpm.AllRequired, _xlfn._xlws.FILTER(Rules[Field], (Rules[Convention]=Conventions[[#This Row],[Name]]) * (Rules[Required]=TRUE), ""),
    _xlpm.NonLookup, _xlfn.MAP(_xlpm.AllRequired, _xlfn.LAMBDA(_xlpm.f,
        IF(IFERROR(_xlfn.XLOOKUP(_xlpm.f, Fields[Name], Fields[Type]), "")="Lookup", "", _xlpm.f)
    )),
    _xlfn.TEXTJOIN(", ", TRUE, _xlpm.NonLookup)
)</f>
        <v>FPID, Deliverable</v>
      </c>
      <c r="G3" s="18" t="str" cm="1">
        <f t="array" ref="G3">_xlfn.LET(
    _xlpm.AllOptional, _xlfn._xlws.FILTER(Rules[Field], (Rules[Convention]=Conventions[[#This Row],[Name]]) * (Rules[Required]=FALSE), ""),
    _xlpm.NonLookup, _xlfn.MAP(_xlpm.AllOptional, _xlfn.LAMBDA(_xlpm.f,
        IF(IFERROR(_xlfn.XLOOKUP(_xlpm.f, Fields[Name], Fields[Type]), "")="Lookup", "", _xlpm.f)
    )),
    _xlfn.TEXTJOIN(", ", TRUE, _xlpm.NonLookup)
)</f>
        <v>Revision ID</v>
      </c>
      <c r="H3" s="13" t="str" cm="1">
        <f t="array" ref="H3">_xlfn.LET(
    _xlpm.AllRuleFields, _xlfn._xlws.FILTER(Rules[Field], Rules[Convention]=Conventions[[#This Row],[Name]], ""),
    _xlpm.LookupDefs, _xlfn.MAP(_xlpm.AllRuleFields, _xlfn.LAMBDA(_xlpm.f,
        _xlfn.LET(
            _xlpm.fieldType, IFERROR(_xlfn.XLOOKUP(_xlpm.f, Fields[Name], Fields[Type]), ""),
            IF(_xlpm.fieldType="Lookup", _xlpm.f, "")
        )
    )),
    _xlfn.TEXTJOIN(", ", TRUE, _xlpm.LookupDefs)
)</f>
        <v>Full FPID, Deliverable ID</v>
      </c>
      <c r="I3" s="18" t="str" cm="1">
        <f t="array" ref="I3">_xlfn.LET(
    _xlpm.Format, Conventions[[#This Row],[Format]],
    _xlpm.ReqFields, IF(Conventions[[#This Row],[Required Fields]]&lt;&gt;"", _xlfn.TEXTSPLIT(Conventions[[#This Row],[Required Fields]], ", "), ""),
    _xlpm.OptFields, IF(Conventions[[#This Row],[Optional Fields]]&lt;&gt;"", _xlfn.TEXTSPLIT(Conventions[[#This Row],[Optional Fields]], ", "), ""),
    _xlpm.LookupFields, IF(Conventions[[#This Row],[Lookups]]&lt;&gt;"", _xlfn.TEXTSPLIT(Conventions[[#This Row],[Lookups]], ", "), ""),
    _xlpm.Tokens, _xlfn.TEXTJOIN("§", TRUE, _xlfn.TEXTSPLIT(_xlpm.Format, "[")),
    _xlpm.FieldRefs, _xlfn.TEXTSPLIT(_xlpm.Tokens, "§"),
    _xlpm.FormatFields, _xlfn.MAP(_xlpm.FieldRefs, _xlfn.LAMBDA(_xlpm.token,
        IF(ISNUMBER(FIND("]", _xlpm.token)),
            _xlfn.LET(
                _xlpm.fieldName, LEFT(_xlpm.token, FIND("]", _xlpm.token)-1),
                IF(ISNUMBER(FIND("(", _xlpm.fieldName)),
                    LEFT(_xlpm.fieldName, FIND("(", _xlpm.fieldName)-1),
                    _xlpm.fieldName
                )
            ),
            ""
        )
    )),
    _xlpm.Unmatched, _xlfn.MAP(_xlpm.FormatFields, _xlfn.LAMBDA(_xlpm.f,
        IF(_xlpm.f="", "",
            IF(ISNUMBER(MATCH(_xlpm.f, _xlpm.ReqFields, 0)), "",
                IF(ISNUMBER(MATCH(_xlpm.f, _xlpm.OptFields, 0)), "",
                    IF(ISNUMBER(MATCH(_xlpm.f, _xlpm.LookupFields, 0)), "",
                        _xlpm.f
                    )
                )
            )
        )
    )),
    _xlpm.Result, _xlfn.TEXTJOIN(", ", TRUE, _xlpm.Unmatched),
    IF(_xlpm.Result="", "✓", "⚠️ UNMATCHED: " &amp; _xlpm.Result)
)</f>
        <v>✓</v>
      </c>
    </row>
    <row r="4" spans="1:9" x14ac:dyDescent="0.2">
      <c r="A4" s="1" t="s">
        <v>251</v>
      </c>
      <c r="B4" s="1"/>
      <c r="C4" s="1" t="s">
        <v>485</v>
      </c>
      <c r="D4" s="2" t="s">
        <v>109</v>
      </c>
      <c r="E4" s="2" t="s">
        <v>473</v>
      </c>
      <c r="F4" s="18" t="str" cm="1">
        <f t="array" ref="F4">_xlfn.LET(
    _xlpm.AllRequired, _xlfn._xlws.FILTER(Rules[Field], (Rules[Convention]=Conventions[[#This Row],[Name]]) * (Rules[Required]=TRUE), ""),
    _xlpm.NonLookup, _xlfn.MAP(_xlpm.AllRequired, _xlfn.LAMBDA(_xlpm.f,
        IF(IFERROR(_xlfn.XLOOKUP(_xlpm.f, Fields[Name], Fields[Type]), "")="Lookup", "", _xlpm.f)
    )),
    _xlfn.TEXTJOIN(", ", TRUE, _xlpm.NonLookup)
)</f>
        <v>FPID, Deliverable, Submittal</v>
      </c>
      <c r="G4" s="18" t="str" cm="1">
        <f t="array" ref="G4">_xlfn.LET(
    _xlpm.AllOptional, _xlfn._xlws.FILTER(Rules[Field], (Rules[Convention]=Conventions[[#This Row],[Name]]) * (Rules[Required]=FALSE), ""),
    _xlpm.NonLookup, _xlfn.MAP(_xlpm.AllOptional, _xlfn.LAMBDA(_xlpm.f,
        IF(IFERROR(_xlfn.XLOOKUP(_xlpm.f, Fields[Name], Fields[Type]), "")="Lookup", "", _xlpm.f)
    )),
    _xlfn.TEXTJOIN(", ", TRUE, _xlpm.NonLookup)
)</f>
        <v/>
      </c>
      <c r="H4" s="13" t="str" cm="1">
        <f t="array" ref="H4">_xlfn.LET(
    _xlpm.AllRuleFields, _xlfn._xlws.FILTER(Rules[Field], Rules[Convention]=Conventions[[#This Row],[Name]], ""),
    _xlpm.LookupDefs, _xlfn.MAP(_xlpm.AllRuleFields, _xlfn.LAMBDA(_xlpm.f,
        _xlfn.LET(
            _xlpm.fieldType, IFERROR(_xlfn.XLOOKUP(_xlpm.f, Fields[Name], Fields[Type]), ""),
            IF(_xlpm.fieldType="Lookup", _xlpm.f, "")
        )
    )),
    _xlfn.TEXTJOIN(", ", TRUE, _xlpm.LookupDefs)
)</f>
        <v>Full FPID, Deliverable ID, Phase ID</v>
      </c>
      <c r="I4" s="18" t="str" cm="1">
        <f t="array" ref="I4">_xlfn.LET(
    _xlpm.Format, Conventions[[#This Row],[Format]],
    _xlpm.ReqFields, IF(Conventions[[#This Row],[Required Fields]]&lt;&gt;"", _xlfn.TEXTSPLIT(Conventions[[#This Row],[Required Fields]], ", "), ""),
    _xlpm.OptFields, IF(Conventions[[#This Row],[Optional Fields]]&lt;&gt;"", _xlfn.TEXTSPLIT(Conventions[[#This Row],[Optional Fields]], ", "), ""),
    _xlpm.LookupFields, IF(Conventions[[#This Row],[Lookups]]&lt;&gt;"", _xlfn.TEXTSPLIT(Conventions[[#This Row],[Lookups]], ", "), ""),
    _xlpm.Tokens, _xlfn.TEXTJOIN("§", TRUE, _xlfn.TEXTSPLIT(_xlpm.Format, "[")),
    _xlpm.FieldRefs, _xlfn.TEXTSPLIT(_xlpm.Tokens, "§"),
    _xlpm.FormatFields, _xlfn.MAP(_xlpm.FieldRefs, _xlfn.LAMBDA(_xlpm.token,
        IF(ISNUMBER(FIND("]", _xlpm.token)),
            _xlfn.LET(
                _xlpm.fieldName, LEFT(_xlpm.token, FIND("]", _xlpm.token)-1),
                IF(ISNUMBER(FIND("(", _xlpm.fieldName)),
                    LEFT(_xlpm.fieldName, FIND("(", _xlpm.fieldName)-1),
                    _xlpm.fieldName
                )
            ),
            ""
        )
    )),
    _xlpm.Unmatched, _xlfn.MAP(_xlpm.FormatFields, _xlfn.LAMBDA(_xlpm.f,
        IF(_xlpm.f="", "",
            IF(ISNUMBER(MATCH(_xlpm.f, _xlpm.ReqFields, 0)), "",
                IF(ISNUMBER(MATCH(_xlpm.f, _xlpm.OptFields, 0)), "",
                    IF(ISNUMBER(MATCH(_xlpm.f, _xlpm.LookupFields, 0)), "",
                        _xlpm.f
                    )
                )
            )
        )
    )),
    _xlpm.Result, _xlfn.TEXTJOIN(", ", TRUE, _xlpm.Unmatched),
    IF(_xlpm.Result="", "✓", "⚠️ UNMATCHED: " &amp; _xlpm.Result)
)</f>
        <v>✓</v>
      </c>
    </row>
    <row r="5" spans="1:9" x14ac:dyDescent="0.2">
      <c r="A5" s="1" t="s">
        <v>244</v>
      </c>
      <c r="B5" s="1"/>
      <c r="C5" s="1" t="s">
        <v>491</v>
      </c>
      <c r="D5" s="2" t="s">
        <v>109</v>
      </c>
      <c r="E5" s="2" t="s">
        <v>472</v>
      </c>
      <c r="F5" s="18" t="str" cm="1">
        <f t="array" ref="F5">_xlfn.LET(
    _xlpm.AllRequired, _xlfn._xlws.FILTER(Rules[Field], (Rules[Convention]=Conventions[[#This Row],[Name]]) * (Rules[Required]=TRUE), ""),
    _xlpm.NonLookup, _xlfn.MAP(_xlpm.AllRequired, _xlfn.LAMBDA(_xlpm.f,
        IF(IFERROR(_xlfn.XLOOKUP(_xlpm.f, Fields[Name], Fields[Type]), "")="Lookup", "", _xlpm.f)
    )),
    _xlfn.TEXTJOIN(", ", TRUE, _xlpm.NonLookup)
)</f>
        <v>FPID</v>
      </c>
      <c r="G5" s="18" t="str" cm="1">
        <f t="array" ref="G5">_xlfn.LET(
    _xlpm.AllOptional, _xlfn._xlws.FILTER(Rules[Field], (Rules[Convention]=Conventions[[#This Row],[Name]]) * (Rules[Required]=FALSE), ""),
    _xlpm.NonLookup, _xlfn.MAP(_xlpm.AllOptional, _xlfn.LAMBDA(_xlpm.f,
        IF(IFERROR(_xlfn.XLOOKUP(_xlpm.f, Fields[Name], Fields[Type]), "")="Lookup", "", _xlpm.f)
    )),
    _xlfn.TEXTJOIN(", ", TRUE, _xlpm.NonLookup)
)</f>
        <v/>
      </c>
      <c r="H5" s="13" t="str" cm="1">
        <f t="array" ref="H5">_xlfn.LET(
    _xlpm.AllRuleFields, _xlfn._xlws.FILTER(Rules[Field], Rules[Convention]=Conventions[[#This Row],[Name]], ""),
    _xlpm.LookupDefs, _xlfn.MAP(_xlpm.AllRuleFields, _xlfn.LAMBDA(_xlpm.f,
        _xlfn.LET(
            _xlpm.fieldType, IFERROR(_xlfn.XLOOKUP(_xlpm.f, Fields[Name], Fields[Type]), ""),
            IF(_xlpm.fieldType="Lookup", _xlpm.f, "")
        )
    )),
    _xlfn.TEXTJOIN(", ", TRUE, _xlpm.LookupDefs)
)</f>
        <v>Full FPID</v>
      </c>
      <c r="I5" s="18" t="str" cm="1">
        <f t="array" ref="I5">_xlfn.LET(
    _xlpm.Format, Conventions[[#This Row],[Format]],
    _xlpm.ReqFields, IF(Conventions[[#This Row],[Required Fields]]&lt;&gt;"", _xlfn.TEXTSPLIT(Conventions[[#This Row],[Required Fields]], ", "), ""),
    _xlpm.OptFields, IF(Conventions[[#This Row],[Optional Fields]]&lt;&gt;"", _xlfn.TEXTSPLIT(Conventions[[#This Row],[Optional Fields]], ", "), ""),
    _xlpm.LookupFields, IF(Conventions[[#This Row],[Lookups]]&lt;&gt;"", _xlfn.TEXTSPLIT(Conventions[[#This Row],[Lookups]], ", "), ""),
    _xlpm.Tokens, _xlfn.TEXTJOIN("§", TRUE, _xlfn.TEXTSPLIT(_xlpm.Format, "[")),
    _xlpm.FieldRefs, _xlfn.TEXTSPLIT(_xlpm.Tokens, "§"),
    _xlpm.FormatFields, _xlfn.MAP(_xlpm.FieldRefs, _xlfn.LAMBDA(_xlpm.token,
        IF(ISNUMBER(FIND("]", _xlpm.token)),
            _xlfn.LET(
                _xlpm.fieldName, LEFT(_xlpm.token, FIND("]", _xlpm.token)-1),
                IF(ISNUMBER(FIND("(", _xlpm.fieldName)),
                    LEFT(_xlpm.fieldName, FIND("(", _xlpm.fieldName)-1),
                    _xlpm.fieldName
                )
            ),
            ""
        )
    )),
    _xlpm.Unmatched, _xlfn.MAP(_xlpm.FormatFields, _xlfn.LAMBDA(_xlpm.f,
        IF(_xlpm.f="", "",
            IF(ISNUMBER(MATCH(_xlpm.f, _xlpm.ReqFields, 0)), "",
                IF(ISNUMBER(MATCH(_xlpm.f, _xlpm.OptFields, 0)), "",
                    IF(ISNUMBER(MATCH(_xlpm.f, _xlpm.LookupFields, 0)), "",
                        _xlpm.f
                    )
                )
            )
        )
    )),
    _xlpm.Result, _xlfn.TEXTJOIN(", ", TRUE, _xlpm.Unmatched),
    IF(_xlpm.Result="", "✓", "⚠️ UNMATCHED: " &amp; _xlpm.Result)
)</f>
        <v>✓</v>
      </c>
    </row>
    <row r="6" spans="1:9" x14ac:dyDescent="0.2">
      <c r="A6" s="1" t="s">
        <v>110</v>
      </c>
      <c r="B6" s="1"/>
      <c r="C6" s="1" t="s">
        <v>484</v>
      </c>
      <c r="D6" s="2" t="s">
        <v>109</v>
      </c>
      <c r="E6" s="2" t="s">
        <v>479</v>
      </c>
      <c r="F6" s="19" t="str" cm="1">
        <f t="array" ref="F6">_xlfn.LET(
    _xlpm.AllRequired, _xlfn._xlws.FILTER(Rules[Field], (Rules[Convention]=Conventions[[#This Row],[Name]]) * (Rules[Required]=TRUE), ""),
    _xlpm.NonLookup, _xlfn.MAP(_xlpm.AllRequired, _xlfn.LAMBDA(_xlpm.f,
        IF(IFERROR(_xlfn.XLOOKUP(_xlpm.f, Fields[Name], Fields[Type]), "")="Lookup", "", _xlpm.f)
    )),
    _xlfn.TEXTJOIN(", ", TRUE, _xlpm.NonLookup)
)</f>
        <v>Project, Submittal, Submittal ID, Title</v>
      </c>
      <c r="G6" s="19" t="str" cm="1">
        <f t="array" ref="G6">_xlfn.LET(
    _xlpm.AllOptional, _xlfn._xlws.FILTER(Rules[Field], (Rules[Convention]=Conventions[[#This Row],[Name]]) * (Rules[Required]=FALSE), ""),
    _xlpm.NonLookup, _xlfn.MAP(_xlpm.AllOptional, _xlfn.LAMBDA(_xlpm.f,
        IF(IFERROR(_xlfn.XLOOKUP(_xlpm.f, Fields[Name], Fields[Type]), "")="Lookup", "", _xlpm.f)
    )),
    _xlfn.TEXTJOIN(", ", TRUE, _xlpm.NonLookup)
)</f>
        <v>Resubmittal ID, Subtitle</v>
      </c>
      <c r="H6" s="13" t="str" cm="1">
        <f t="array" ref="H6">_xlfn.LET(
    _xlpm.AllRuleFields, _xlfn._xlws.FILTER(Rules[Field], Rules[Convention]=Conventions[[#This Row],[Name]], ""),
    _xlpm.LookupDefs, _xlfn.MAP(_xlpm.AllRuleFields, _xlfn.LAMBDA(_xlpm.f,
        _xlfn.LET(
            _xlpm.fieldType, IFERROR(_xlfn.XLOOKUP(_xlpm.f, Fields[Name], Fields[Type]), ""),
            IF(_xlpm.fieldType="Lookup", _xlpm.f, "")
        )
    )),
    _xlfn.TEXTJOIN(", ", TRUE, _xlpm.LookupDefs)
)</f>
        <v>Project ID, Submittal Prefix</v>
      </c>
      <c r="I6" s="19" t="str" cm="1">
        <f t="array" ref="I6">_xlfn.LET(
    _xlpm.Format, Conventions[[#This Row],[Format]],
    _xlpm.ReqFields, IF(Conventions[[#This Row],[Required Fields]]&lt;&gt;"", _xlfn.TEXTSPLIT(Conventions[[#This Row],[Required Fields]], ", "), ""),
    _xlpm.OptFields, IF(Conventions[[#This Row],[Optional Fields]]&lt;&gt;"", _xlfn.TEXTSPLIT(Conventions[[#This Row],[Optional Fields]], ", "), ""),
    _xlpm.LookupFields, IF(Conventions[[#This Row],[Lookups]]&lt;&gt;"", _xlfn.TEXTSPLIT(Conventions[[#This Row],[Lookups]], ", "), ""),
    _xlpm.Tokens, _xlfn.TEXTJOIN("§", TRUE, _xlfn.TEXTSPLIT(_xlpm.Format, "[")),
    _xlpm.FieldRefs, _xlfn.TEXTSPLIT(_xlpm.Tokens, "§"),
    _xlpm.FormatFields, _xlfn.MAP(_xlpm.FieldRefs, _xlfn.LAMBDA(_xlpm.token,
        IF(ISNUMBER(FIND("]", _xlpm.token)),
            _xlfn.LET(
                _xlpm.fieldName, LEFT(_xlpm.token, FIND("]", _xlpm.token)-1),
                IF(ISNUMBER(FIND("(", _xlpm.fieldName)),
                    LEFT(_xlpm.fieldName, FIND("(", _xlpm.fieldName)-1),
                    _xlpm.fieldName
                )
            ),
            ""
        )
    )),
    _xlpm.Unmatched, _xlfn.MAP(_xlpm.FormatFields, _xlfn.LAMBDA(_xlpm.f,
        IF(_xlpm.f="", "",
            IF(ISNUMBER(MATCH(_xlpm.f, _xlpm.ReqFields, 0)), "",
                IF(ISNUMBER(MATCH(_xlpm.f, _xlpm.OptFields, 0)), "",
                    IF(ISNUMBER(MATCH(_xlpm.f, _xlpm.LookupFields, 0)), "",
                        _xlpm.f
                    )
                )
            )
        )
    )),
    _xlpm.Result, _xlfn.TEXTJOIN(", ", TRUE, _xlpm.Unmatched),
    IF(_xlpm.Result="", "✓", "⚠️ UNMATCHED: " &amp; _xlpm.Result)
)</f>
        <v>✓</v>
      </c>
    </row>
    <row r="7" spans="1:9" x14ac:dyDescent="0.2">
      <c r="A7" s="1" t="s">
        <v>427</v>
      </c>
      <c r="B7" s="1"/>
      <c r="C7" s="1" t="s">
        <v>486</v>
      </c>
      <c r="D7" s="2" t="s">
        <v>109</v>
      </c>
      <c r="E7" s="2" t="s">
        <v>481</v>
      </c>
      <c r="F7" s="18" t="str" cm="1">
        <f t="array" ref="F7">_xlfn.LET(
    _xlpm.AllRequired, _xlfn._xlws.FILTER(Rules[Field], (Rules[Convention]=Conventions[[#This Row],[Name]]) * (Rules[Required]=TRUE), ""),
    _xlpm.NonLookup, _xlfn.MAP(_xlpm.AllRequired, _xlfn.LAMBDA(_xlpm.f,
        IF(IFERROR(_xlfn.XLOOKUP(_xlpm.f, Fields[Name], Fields[Type]), "")="Lookup", "", _xlpm.f)
    )),
    _xlfn.TEXTJOIN(", ", TRUE, _xlpm.NonLookup)
)</f>
        <v>FPID, Title</v>
      </c>
      <c r="G7" s="18" t="str" cm="1">
        <f t="array" ref="G7">_xlfn.LET(
    _xlpm.AllOptional, _xlfn._xlws.FILTER(Rules[Field], (Rules[Convention]=Conventions[[#This Row],[Name]]) * (Rules[Required]=FALSE), ""),
    _xlpm.NonLookup, _xlfn.MAP(_xlpm.AllOptional, _xlfn.LAMBDA(_xlpm.f,
        IF(IFERROR(_xlfn.XLOOKUP(_xlpm.f, Fields[Name], Fields[Type]), "")="Lookup", "", _xlpm.f)
    )),
    _xlfn.TEXTJOIN(", ", TRUE, _xlpm.NonLookup)
)</f>
        <v>Subtitle</v>
      </c>
      <c r="H7" s="13" t="str" cm="1">
        <f t="array" ref="H7">_xlfn.LET(
    _xlpm.AllRuleFields, _xlfn._xlws.FILTER(Rules[Field], Rules[Convention]=Conventions[[#This Row],[Name]], ""),
    _xlpm.LookupDefs, _xlfn.MAP(_xlpm.AllRuleFields, _xlfn.LAMBDA(_xlpm.f,
        _xlfn.LET(
            _xlpm.fieldType, IFERROR(_xlfn.XLOOKUP(_xlpm.f, Fields[Name], Fields[Type]), ""),
            IF(_xlpm.fieldType="Lookup", _xlpm.f, "")
        )
    )),
    _xlfn.TEXTJOIN(", ", TRUE, _xlpm.LookupDefs)
)</f>
        <v/>
      </c>
      <c r="I7" s="18" t="str" cm="1">
        <f t="array" ref="I7">_xlfn.LET(
    _xlpm.Format, Conventions[[#This Row],[Format]],
    _xlpm.ReqFields, IF(Conventions[[#This Row],[Required Fields]]&lt;&gt;"", _xlfn.TEXTSPLIT(Conventions[[#This Row],[Required Fields]], ", "), ""),
    _xlpm.OptFields, IF(Conventions[[#This Row],[Optional Fields]]&lt;&gt;"", _xlfn.TEXTSPLIT(Conventions[[#This Row],[Optional Fields]], ", "), ""),
    _xlpm.LookupFields, IF(Conventions[[#This Row],[Lookups]]&lt;&gt;"", _xlfn.TEXTSPLIT(Conventions[[#This Row],[Lookups]], ", "), ""),
    _xlpm.Tokens, _xlfn.TEXTJOIN("§", TRUE, _xlfn.TEXTSPLIT(_xlpm.Format, "[")),
    _xlpm.FieldRefs, _xlfn.TEXTSPLIT(_xlpm.Tokens, "§"),
    _xlpm.FormatFields, _xlfn.MAP(_xlpm.FieldRefs, _xlfn.LAMBDA(_xlpm.token,
        IF(ISNUMBER(FIND("]", _xlpm.token)),
            _xlfn.LET(
                _xlpm.fieldName, LEFT(_xlpm.token, FIND("]", _xlpm.token)-1),
                IF(ISNUMBER(FIND("(", _xlpm.fieldName)),
                    LEFT(_xlpm.fieldName, FIND("(", _xlpm.fieldName)-1),
                    _xlpm.fieldName
                )
            ),
            ""
        )
    )),
    _xlpm.Unmatched, _xlfn.MAP(_xlpm.FormatFields, _xlfn.LAMBDA(_xlpm.f,
        IF(_xlpm.f="", "",
            IF(ISNUMBER(MATCH(_xlpm.f, _xlpm.ReqFields, 0)), "",
                IF(ISNUMBER(MATCH(_xlpm.f, _xlpm.OptFields, 0)), "",
                    IF(ISNUMBER(MATCH(_xlpm.f, _xlpm.LookupFields, 0)), "",
                        _xlpm.f
                    )
                )
            )
        )
    )),
    _xlpm.Result, _xlfn.TEXTJOIN(", ", TRUE, _xlpm.Unmatched),
    IF(_xlpm.Result="", "✓", "⚠️ UNMATCHED: " &amp; _xlpm.Result)
)</f>
        <v>✓</v>
      </c>
    </row>
    <row r="8" spans="1:9" x14ac:dyDescent="0.2">
      <c r="A8" s="1" t="s">
        <v>429</v>
      </c>
      <c r="B8" s="1"/>
      <c r="C8" s="1" t="s">
        <v>490</v>
      </c>
      <c r="D8" s="2" t="s">
        <v>109</v>
      </c>
      <c r="E8" s="2" t="s">
        <v>489</v>
      </c>
      <c r="F8" s="18" t="str" cm="1">
        <f t="array" ref="F8">_xlfn.LET(
    _xlpm.AllRequired, _xlfn._xlws.FILTER(Rules[Field], (Rules[Convention]=Conventions[[#This Row],[Name]]) * (Rules[Required]=TRUE), ""),
    _xlpm.NonLookup, _xlfn.MAP(_xlpm.AllRequired, _xlfn.LAMBDA(_xlpm.f,
        IF(IFERROR(_xlfn.XLOOKUP(_xlpm.f, Fields[Name], Fields[Type]), "")="Lookup", "", _xlpm.f)
    )),
    _xlfn.TEXTJOIN(", ", TRUE, _xlpm.NonLookup)
)</f>
        <v>Permit, Permit ID</v>
      </c>
      <c r="G8" s="18" t="str" cm="1">
        <f t="array" ref="G8">_xlfn.LET(
    _xlpm.AllOptional, _xlfn._xlws.FILTER(Rules[Field], (Rules[Convention]=Conventions[[#This Row],[Name]]) * (Rules[Required]=FALSE), ""),
    _xlpm.NonLookup, _xlfn.MAP(_xlpm.AllOptional, _xlfn.LAMBDA(_xlpm.f,
        IF(IFERROR(_xlfn.XLOOKUP(_xlpm.f, Fields[Name], Fields[Type]), "")="Lookup", "", _xlpm.f)
    )),
    _xlfn.TEXTJOIN(", ", TRUE, _xlpm.NonLookup)
)</f>
        <v/>
      </c>
      <c r="H8" s="13" t="str" cm="1">
        <f t="array" ref="H8">_xlfn.LET(
    _xlpm.AllRuleFields, _xlfn._xlws.FILTER(Rules[Field], Rules[Convention]=Conventions[[#This Row],[Name]], ""),
    _xlpm.LookupDefs, _xlfn.MAP(_xlpm.AllRuleFields, _xlfn.LAMBDA(_xlpm.f,
        _xlfn.LET(
            _xlpm.fieldType, IFERROR(_xlfn.XLOOKUP(_xlpm.f, Fields[Name], Fields[Type]), ""),
            IF(_xlpm.fieldType="Lookup", _xlpm.f, "")
        )
    )),
    _xlfn.TEXTJOIN(", ", TRUE, _xlpm.LookupDefs)
)</f>
        <v>Permit Code</v>
      </c>
      <c r="I8" s="18" t="str" cm="1">
        <f t="array" ref="I8">_xlfn.LET(
    _xlpm.Format, Conventions[[#This Row],[Format]],
    _xlpm.ReqFields, IF(Conventions[[#This Row],[Required Fields]]&lt;&gt;"", _xlfn.TEXTSPLIT(Conventions[[#This Row],[Required Fields]], ", "), ""),
    _xlpm.OptFields, IF(Conventions[[#This Row],[Optional Fields]]&lt;&gt;"", _xlfn.TEXTSPLIT(Conventions[[#This Row],[Optional Fields]], ", "), ""),
    _xlpm.LookupFields, IF(Conventions[[#This Row],[Lookups]]&lt;&gt;"", _xlfn.TEXTSPLIT(Conventions[[#This Row],[Lookups]], ", "), ""),
    _xlpm.Tokens, _xlfn.TEXTJOIN("§", TRUE, _xlfn.TEXTSPLIT(_xlpm.Format, "[")),
    _xlpm.FieldRefs, _xlfn.TEXTSPLIT(_xlpm.Tokens, "§"),
    _xlpm.FormatFields, _xlfn.MAP(_xlpm.FieldRefs, _xlfn.LAMBDA(_xlpm.token,
        IF(ISNUMBER(FIND("]", _xlpm.token)),
            _xlfn.LET(
                _xlpm.fieldName, LEFT(_xlpm.token, FIND("]", _xlpm.token)-1),
                IF(ISNUMBER(FIND("(", _xlpm.fieldName)),
                    LEFT(_xlpm.fieldName, FIND("(", _xlpm.fieldName)-1),
                    _xlpm.fieldName
                )
            ),
            ""
        )
    )),
    _xlpm.Unmatched, _xlfn.MAP(_xlpm.FormatFields, _xlfn.LAMBDA(_xlpm.f,
        IF(_xlpm.f="", "",
            IF(ISNUMBER(MATCH(_xlpm.f, _xlpm.ReqFields, 0)), "",
                IF(ISNUMBER(MATCH(_xlpm.f, _xlpm.OptFields, 0)), "",
                    IF(ISNUMBER(MATCH(_xlpm.f, _xlpm.LookupFields, 0)), "",
                        _xlpm.f
                    )
                )
            )
        )
    )),
    _xlpm.Result, _xlfn.TEXTJOIN(", ", TRUE, _xlpm.Unmatched),
    IF(_xlpm.Result="", "✓", "⚠️ UNMATCHED: " &amp; _xlpm.Result)
)</f>
        <v>✓</v>
      </c>
    </row>
    <row r="9" spans="1:9" x14ac:dyDescent="0.2">
      <c r="A9" s="5" t="s">
        <v>476</v>
      </c>
      <c r="B9" s="5"/>
      <c r="C9" s="1" t="s">
        <v>486</v>
      </c>
      <c r="D9" s="2" t="s">
        <v>109</v>
      </c>
      <c r="E9" s="2" t="s">
        <v>480</v>
      </c>
      <c r="F9" s="18" t="str" cm="1">
        <f t="array" ref="F9">_xlfn.LET(
    _xlpm.AllRequired, _xlfn._xlws.FILTER(Rules[Field], (Rules[Convention]=Conventions[[#This Row],[Name]]) * (Rules[Required]=TRUE), ""),
    _xlpm.NonLookup, _xlfn.MAP(_xlpm.AllRequired, _xlfn.LAMBDA(_xlpm.f,
        IF(IFERROR(_xlfn.XLOOKUP(_xlpm.f, Fields[Name], Fields[Type]), "")="Lookup", "", _xlpm.f)
    )),
    _xlfn.TEXTJOIN(", ", TRUE, _xlpm.NonLookup)
)</f>
        <v>External FPID, Title</v>
      </c>
      <c r="G9" s="18" t="str" cm="1">
        <f t="array" ref="G9">_xlfn.LET(
    _xlpm.AllOptional, _xlfn._xlws.FILTER(Rules[Field], (Rules[Convention]=Conventions[[#This Row],[Name]]) * (Rules[Required]=FALSE), ""),
    _xlpm.NonLookup, _xlfn.MAP(_xlpm.AllOptional, _xlfn.LAMBDA(_xlpm.f,
        IF(IFERROR(_xlfn.XLOOKUP(_xlpm.f, Fields[Name], Fields[Type]), "")="Lookup", "", _xlpm.f)
    )),
    _xlfn.TEXTJOIN(", ", TRUE, _xlpm.NonLookup)
)</f>
        <v>Subtitle</v>
      </c>
      <c r="H9" s="13" t="str" cm="1">
        <f t="array" ref="H9">_xlfn.LET(
    _xlpm.AllRuleFields, _xlfn._xlws.FILTER(Rules[Field], Rules[Convention]=Conventions[[#This Row],[Name]], ""),
    _xlpm.LookupDefs, _xlfn.MAP(_xlpm.AllRuleFields, _xlfn.LAMBDA(_xlpm.f,
        _xlfn.LET(
            _xlpm.fieldType, IFERROR(_xlfn.XLOOKUP(_xlpm.f, Fields[Name], Fields[Type]), ""),
            IF(_xlpm.fieldType="Lookup", _xlpm.f, "")
        )
    )),
    _xlfn.TEXTJOIN(", ", TRUE, _xlpm.LookupDefs)
)</f>
        <v/>
      </c>
      <c r="I9" s="18" t="str" cm="1">
        <f t="array" ref="I9">_xlfn.LET(
    _xlpm.Format, Conventions[[#This Row],[Format]],
    _xlpm.ReqFields, IF(Conventions[[#This Row],[Required Fields]]&lt;&gt;"", _xlfn.TEXTSPLIT(Conventions[[#This Row],[Required Fields]], ", "), ""),
    _xlpm.OptFields, IF(Conventions[[#This Row],[Optional Fields]]&lt;&gt;"", _xlfn.TEXTSPLIT(Conventions[[#This Row],[Optional Fields]], ", "), ""),
    _xlpm.LookupFields, IF(Conventions[[#This Row],[Lookups]]&lt;&gt;"", _xlfn.TEXTSPLIT(Conventions[[#This Row],[Lookups]], ", "), ""),
    _xlpm.Tokens, _xlfn.TEXTJOIN("§", TRUE, _xlfn.TEXTSPLIT(_xlpm.Format, "[")),
    _xlpm.FieldRefs, _xlfn.TEXTSPLIT(_xlpm.Tokens, "§"),
    _xlpm.FormatFields, _xlfn.MAP(_xlpm.FieldRefs, _xlfn.LAMBDA(_xlpm.token,
        IF(ISNUMBER(FIND("]", _xlpm.token)),
            _xlfn.LET(
                _xlpm.fieldName, LEFT(_xlpm.token, FIND("]", _xlpm.token)-1),
                IF(ISNUMBER(FIND("(", _xlpm.fieldName)),
                    LEFT(_xlpm.fieldName, FIND("(", _xlpm.fieldName)-1),
                    _xlpm.fieldName
                )
            ),
            ""
        )
    )),
    _xlpm.Unmatched, _xlfn.MAP(_xlpm.FormatFields, _xlfn.LAMBDA(_xlpm.f,
        IF(_xlpm.f="", "",
            IF(ISNUMBER(MATCH(_xlpm.f, _xlpm.ReqFields, 0)), "",
                IF(ISNUMBER(MATCH(_xlpm.f, _xlpm.OptFields, 0)), "",
                    IF(ISNUMBER(MATCH(_xlpm.f, _xlpm.LookupFields, 0)), "",
                        _xlpm.f
                    )
                )
            )
        )
    )),
    _xlpm.Result, _xlfn.TEXTJOIN(", ", TRUE, _xlpm.Unmatched),
    IF(_xlpm.Result="", "✓", "⚠️ UNMATCHED: " &amp; _xlpm.Result)
)</f>
        <v>✓</v>
      </c>
    </row>
    <row r="10" spans="1:9" x14ac:dyDescent="0.2">
      <c r="A10" s="5" t="s">
        <v>500</v>
      </c>
      <c r="B10" s="5"/>
      <c r="C10" s="5" t="s">
        <v>501</v>
      </c>
      <c r="D10" s="2" t="s">
        <v>109</v>
      </c>
      <c r="E10" s="30" t="s">
        <v>502</v>
      </c>
      <c r="F10" s="20" t="str" cm="1">
        <f t="array" ref="F10">_xlfn.LET(
    _xlpm.AllRequired, _xlfn._xlws.FILTER(Rules[Field], (Rules[Convention]=Conventions[[#This Row],[Name]]) * (Rules[Required]=TRUE), ""),
    _xlpm.NonLookup, _xlfn.MAP(_xlpm.AllRequired, _xlfn.LAMBDA(_xlpm.f,
        IF(IFERROR(_xlfn.XLOOKUP(_xlpm.f, Fields[Name], Fields[Type]), "")="Lookup", "", _xlpm.f)
    )),
    _xlfn.TEXTJOIN(", ", TRUE, _xlpm.NonLookup)
)</f>
        <v>Title</v>
      </c>
      <c r="G10" s="20" t="str" cm="1">
        <f t="array" ref="G10">_xlfn.LET(
    _xlpm.AllOptional, _xlfn._xlws.FILTER(Rules[Field], (Rules[Convention]=Conventions[[#This Row],[Name]]) * (Rules[Required]=FALSE), ""),
    _xlpm.NonLookup, _xlfn.MAP(_xlpm.AllOptional, _xlfn.LAMBDA(_xlpm.f,
        IF(IFERROR(_xlfn.XLOOKUP(_xlpm.f, Fields[Name], Fields[Type]), "")="Lookup", "", _xlpm.f)
    )),
    _xlfn.TEXTJOIN(", ", TRUE, _xlpm.NonLookup)
)</f>
        <v>Subtitle</v>
      </c>
      <c r="H10" s="31" t="str" cm="1">
        <f t="array" ref="H10">_xlfn.LET(
    _xlpm.AllRuleFields, _xlfn._xlws.FILTER(Rules[Field], Rules[Convention]=Conventions[[#This Row],[Name]], ""),
    _xlpm.LookupDefs, _xlfn.MAP(_xlpm.AllRuleFields, _xlfn.LAMBDA(_xlpm.f,
        _xlfn.LET(
            _xlpm.fieldType, IFERROR(_xlfn.XLOOKUP(_xlpm.f, Fields[Name], Fields[Type]), ""),
            IF(_xlpm.fieldType="Lookup", _xlpm.f, "")
        )
    )),
    _xlfn.TEXTJOIN(", ", TRUE, _xlpm.LookupDefs)
)</f>
        <v/>
      </c>
      <c r="I10" s="20" t="str" cm="1">
        <f t="array" ref="I10">_xlfn.LET(
    _xlpm.Format, Conventions[[#This Row],[Format]],
    _xlpm.ReqFields, IF(Conventions[[#This Row],[Required Fields]]&lt;&gt;"", _xlfn.TEXTSPLIT(Conventions[[#This Row],[Required Fields]], ", "), ""),
    _xlpm.OptFields, IF(Conventions[[#This Row],[Optional Fields]]&lt;&gt;"", _xlfn.TEXTSPLIT(Conventions[[#This Row],[Optional Fields]], ", "), ""),
    _xlpm.LookupFields, IF(Conventions[[#This Row],[Lookups]]&lt;&gt;"", _xlfn.TEXTSPLIT(Conventions[[#This Row],[Lookups]], ", "), ""),
    _xlpm.Tokens, _xlfn.TEXTJOIN("§", TRUE, _xlfn.TEXTSPLIT(_xlpm.Format, "[")),
    _xlpm.FieldRefs, _xlfn.TEXTSPLIT(_xlpm.Tokens, "§"),
    _xlpm.FormatFields, _xlfn.MAP(_xlpm.FieldRefs, _xlfn.LAMBDA(_xlpm.token,
        IF(ISNUMBER(FIND("]", _xlpm.token)),
            _xlfn.LET(
                _xlpm.fieldName, LEFT(_xlpm.token, FIND("]", _xlpm.token)-1),
                IF(ISNUMBER(FIND("(", _xlpm.fieldName)),
                    LEFT(_xlpm.fieldName, FIND("(", _xlpm.fieldName)-1),
                    _xlpm.fieldName
                )
            ),
            ""
        )
    )),
    _xlpm.Unmatched, _xlfn.MAP(_xlpm.FormatFields, _xlfn.LAMBDA(_xlpm.f,
        IF(_xlpm.f="", "",
            IF(ISNUMBER(MATCH(_xlpm.f, _xlpm.ReqFields, 0)), "",
                IF(ISNUMBER(MATCH(_xlpm.f, _xlpm.OptFields, 0)), "",
                    IF(ISNUMBER(MATCH(_xlpm.f, _xlpm.LookupFields, 0)), "",
                        _xlpm.f
                    )
                )
            )
        )
    )),
    _xlpm.Result, _xlfn.TEXTJOIN(", ", TRUE, _xlpm.Unmatched),
    IF(_xlpm.Result="", "✓", "⚠️ UNMATCHED: " &amp; _xlpm.Result)
)</f>
        <v>✓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5C99-1749-AB43-8755-03132DC5CE4A}">
  <sheetPr>
    <tabColor theme="5" tint="0.59999389629810485"/>
  </sheetPr>
  <dimension ref="A1:D20"/>
  <sheetViews>
    <sheetView zoomScale="167" workbookViewId="0">
      <selection activeCell="D11" sqref="D11"/>
    </sheetView>
  </sheetViews>
  <sheetFormatPr baseColWidth="10" defaultRowHeight="15" x14ac:dyDescent="0.2"/>
  <cols>
    <col min="1" max="1" width="13.33203125" bestFit="1" customWidth="1"/>
    <col min="3" max="3" width="38.6640625" bestFit="1" customWidth="1"/>
    <col min="4" max="4" width="9.1640625" bestFit="1" customWidth="1"/>
  </cols>
  <sheetData>
    <row r="1" spans="1:4" x14ac:dyDescent="0.2">
      <c r="A1" t="s">
        <v>0</v>
      </c>
      <c r="B1" t="s">
        <v>439</v>
      </c>
      <c r="C1" t="s">
        <v>444</v>
      </c>
      <c r="D1" t="s">
        <v>448</v>
      </c>
    </row>
    <row r="2" spans="1:4" x14ac:dyDescent="0.2">
      <c r="A2" t="s">
        <v>130</v>
      </c>
      <c r="B2" t="s">
        <v>443</v>
      </c>
      <c r="D2" s="10"/>
    </row>
    <row r="3" spans="1:4" x14ac:dyDescent="0.2">
      <c r="A3" t="s">
        <v>478</v>
      </c>
      <c r="B3" t="s">
        <v>443</v>
      </c>
      <c r="D3" s="10"/>
    </row>
    <row r="4" spans="1:4" x14ac:dyDescent="0.2">
      <c r="A4" t="s">
        <v>19</v>
      </c>
      <c r="B4" t="s">
        <v>446</v>
      </c>
      <c r="C4" t="s">
        <v>451</v>
      </c>
      <c r="D4" s="10"/>
    </row>
    <row r="5" spans="1:4" x14ac:dyDescent="0.2">
      <c r="A5" t="s">
        <v>477</v>
      </c>
      <c r="B5" t="s">
        <v>447</v>
      </c>
      <c r="C5" s="11" t="s">
        <v>458</v>
      </c>
      <c r="D5" s="10" t="s">
        <v>449</v>
      </c>
    </row>
    <row r="6" spans="1:4" x14ac:dyDescent="0.2">
      <c r="A6" t="s">
        <v>20</v>
      </c>
      <c r="B6" t="s">
        <v>446</v>
      </c>
      <c r="C6" t="s">
        <v>450</v>
      </c>
      <c r="D6" s="10"/>
    </row>
    <row r="7" spans="1:4" x14ac:dyDescent="0.2">
      <c r="A7" t="s">
        <v>252</v>
      </c>
      <c r="B7" t="s">
        <v>446</v>
      </c>
      <c r="C7" t="s">
        <v>452</v>
      </c>
      <c r="D7" s="10"/>
    </row>
    <row r="8" spans="1:4" x14ac:dyDescent="0.2">
      <c r="A8" t="s">
        <v>454</v>
      </c>
      <c r="B8" t="s">
        <v>446</v>
      </c>
      <c r="C8" t="s">
        <v>453</v>
      </c>
      <c r="D8" s="10"/>
    </row>
    <row r="9" spans="1:4" x14ac:dyDescent="0.2">
      <c r="A9" t="s">
        <v>463</v>
      </c>
      <c r="B9" t="s">
        <v>443</v>
      </c>
      <c r="C9" t="s">
        <v>464</v>
      </c>
      <c r="D9" s="10"/>
    </row>
    <row r="10" spans="1:4" x14ac:dyDescent="0.2">
      <c r="A10" t="s">
        <v>116</v>
      </c>
      <c r="B10" t="s">
        <v>447</v>
      </c>
      <c r="C10" t="s">
        <v>459</v>
      </c>
      <c r="D10" s="10" t="s">
        <v>457</v>
      </c>
    </row>
    <row r="11" spans="1:4" x14ac:dyDescent="0.2">
      <c r="A11" t="s">
        <v>117</v>
      </c>
      <c r="B11" t="s">
        <v>447</v>
      </c>
      <c r="C11" t="s">
        <v>460</v>
      </c>
      <c r="D11" s="10" t="s">
        <v>118</v>
      </c>
    </row>
    <row r="12" spans="1:4" x14ac:dyDescent="0.2">
      <c r="A12" t="s">
        <v>456</v>
      </c>
      <c r="B12" t="s">
        <v>447</v>
      </c>
      <c r="C12" t="s">
        <v>460</v>
      </c>
      <c r="D12" s="10" t="s">
        <v>475</v>
      </c>
    </row>
    <row r="13" spans="1:4" x14ac:dyDescent="0.2">
      <c r="A13" t="s">
        <v>445</v>
      </c>
      <c r="B13" t="s">
        <v>445</v>
      </c>
      <c r="D13" s="10"/>
    </row>
    <row r="14" spans="1:4" x14ac:dyDescent="0.2">
      <c r="A14" t="s">
        <v>455</v>
      </c>
      <c r="B14" t="s">
        <v>446</v>
      </c>
      <c r="C14" t="s">
        <v>483</v>
      </c>
      <c r="D14" s="10"/>
    </row>
    <row r="15" spans="1:4" x14ac:dyDescent="0.2">
      <c r="A15" t="s">
        <v>78</v>
      </c>
      <c r="B15" t="s">
        <v>442</v>
      </c>
      <c r="C15" t="s">
        <v>493</v>
      </c>
      <c r="D15" s="10"/>
    </row>
    <row r="16" spans="1:4" x14ac:dyDescent="0.2">
      <c r="A16" t="s">
        <v>266</v>
      </c>
      <c r="B16" t="s">
        <v>442</v>
      </c>
      <c r="C16" t="s">
        <v>494</v>
      </c>
      <c r="D16" s="10"/>
    </row>
    <row r="17" spans="1:4" x14ac:dyDescent="0.2">
      <c r="A17" t="s">
        <v>499</v>
      </c>
      <c r="B17" t="s">
        <v>442</v>
      </c>
      <c r="C17" t="s">
        <v>495</v>
      </c>
      <c r="D17" s="10"/>
    </row>
    <row r="18" spans="1:4" x14ac:dyDescent="0.2">
      <c r="A18" t="s">
        <v>119</v>
      </c>
      <c r="B18" t="s">
        <v>442</v>
      </c>
      <c r="C18" t="s">
        <v>496</v>
      </c>
      <c r="D18" s="10"/>
    </row>
    <row r="19" spans="1:4" x14ac:dyDescent="0.2">
      <c r="A19" t="s">
        <v>462</v>
      </c>
      <c r="B19" t="s">
        <v>442</v>
      </c>
      <c r="C19" t="s">
        <v>497</v>
      </c>
      <c r="D19" s="10"/>
    </row>
    <row r="20" spans="1:4" x14ac:dyDescent="0.2">
      <c r="A20" t="s">
        <v>470</v>
      </c>
      <c r="B20" t="s">
        <v>442</v>
      </c>
      <c r="C20" t="s">
        <v>498</v>
      </c>
      <c r="D20" s="1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125E-2D43-CF47-88AA-F58CA2D2C837}">
  <sheetPr>
    <tabColor theme="5" tint="0.59999389629810485"/>
  </sheetPr>
  <dimension ref="A1:C37"/>
  <sheetViews>
    <sheetView tabSelected="1" zoomScale="167" workbookViewId="0">
      <selection activeCell="F11" sqref="F11"/>
    </sheetView>
  </sheetViews>
  <sheetFormatPr baseColWidth="10" defaultRowHeight="15" x14ac:dyDescent="0.2"/>
  <cols>
    <col min="1" max="1" width="30.83203125" bestFit="1" customWidth="1"/>
    <col min="2" max="2" width="13.33203125" bestFit="1" customWidth="1"/>
  </cols>
  <sheetData>
    <row r="1" spans="1:3" x14ac:dyDescent="0.2">
      <c r="A1" t="s">
        <v>82</v>
      </c>
      <c r="B1" t="s">
        <v>441</v>
      </c>
      <c r="C1" t="s">
        <v>461</v>
      </c>
    </row>
    <row r="2" spans="1:3" x14ac:dyDescent="0.2">
      <c r="A2" t="s">
        <v>112</v>
      </c>
      <c r="B2" t="s">
        <v>19</v>
      </c>
      <c r="C2" s="12" t="b">
        <v>1</v>
      </c>
    </row>
    <row r="3" spans="1:3" x14ac:dyDescent="0.2">
      <c r="A3" t="s">
        <v>112</v>
      </c>
      <c r="B3" t="s">
        <v>130</v>
      </c>
      <c r="C3" s="12" t="b">
        <v>1</v>
      </c>
    </row>
    <row r="4" spans="1:3" x14ac:dyDescent="0.2">
      <c r="A4" t="s">
        <v>112</v>
      </c>
      <c r="B4" t="s">
        <v>478</v>
      </c>
      <c r="C4" s="12" t="b">
        <v>0</v>
      </c>
    </row>
    <row r="5" spans="1:3" x14ac:dyDescent="0.2">
      <c r="A5" t="s">
        <v>112</v>
      </c>
      <c r="B5" t="s">
        <v>445</v>
      </c>
      <c r="C5" s="12" t="b">
        <v>1</v>
      </c>
    </row>
    <row r="6" spans="1:3" x14ac:dyDescent="0.2">
      <c r="A6" t="s">
        <v>250</v>
      </c>
      <c r="B6" t="s">
        <v>19</v>
      </c>
      <c r="C6" s="12" t="b">
        <v>1</v>
      </c>
    </row>
    <row r="7" spans="1:3" x14ac:dyDescent="0.2">
      <c r="A7" t="s">
        <v>250</v>
      </c>
      <c r="B7" t="s">
        <v>252</v>
      </c>
      <c r="C7" s="12" t="b">
        <v>1</v>
      </c>
    </row>
    <row r="8" spans="1:3" x14ac:dyDescent="0.2">
      <c r="A8" t="s">
        <v>250</v>
      </c>
      <c r="B8" t="s">
        <v>456</v>
      </c>
      <c r="C8" s="12" t="b">
        <v>0</v>
      </c>
    </row>
    <row r="9" spans="1:3" x14ac:dyDescent="0.2">
      <c r="A9" t="s">
        <v>250</v>
      </c>
      <c r="B9" t="s">
        <v>78</v>
      </c>
    </row>
    <row r="10" spans="1:3" x14ac:dyDescent="0.2">
      <c r="A10" t="s">
        <v>250</v>
      </c>
      <c r="B10" t="s">
        <v>266</v>
      </c>
    </row>
    <row r="11" spans="1:3" x14ac:dyDescent="0.2">
      <c r="A11" t="s">
        <v>251</v>
      </c>
      <c r="B11" t="s">
        <v>19</v>
      </c>
      <c r="C11" s="12" t="b">
        <v>1</v>
      </c>
    </row>
    <row r="12" spans="1:3" x14ac:dyDescent="0.2">
      <c r="A12" t="s">
        <v>251</v>
      </c>
      <c r="B12" t="s">
        <v>252</v>
      </c>
      <c r="C12" s="12" t="b">
        <v>1</v>
      </c>
    </row>
    <row r="13" spans="1:3" x14ac:dyDescent="0.2">
      <c r="A13" t="s">
        <v>251</v>
      </c>
      <c r="B13" t="s">
        <v>455</v>
      </c>
      <c r="C13" s="12" t="b">
        <v>1</v>
      </c>
    </row>
    <row r="14" spans="1:3" x14ac:dyDescent="0.2">
      <c r="A14" t="s">
        <v>251</v>
      </c>
      <c r="B14" t="s">
        <v>78</v>
      </c>
    </row>
    <row r="15" spans="1:3" x14ac:dyDescent="0.2">
      <c r="A15" t="s">
        <v>251</v>
      </c>
      <c r="B15" t="s">
        <v>266</v>
      </c>
    </row>
    <row r="16" spans="1:3" x14ac:dyDescent="0.2">
      <c r="A16" t="s">
        <v>251</v>
      </c>
      <c r="B16" t="s">
        <v>499</v>
      </c>
    </row>
    <row r="17" spans="1:3" x14ac:dyDescent="0.2">
      <c r="A17" t="s">
        <v>244</v>
      </c>
      <c r="B17" t="s">
        <v>19</v>
      </c>
      <c r="C17" s="12" t="b">
        <v>1</v>
      </c>
    </row>
    <row r="18" spans="1:3" x14ac:dyDescent="0.2">
      <c r="A18" t="s">
        <v>244</v>
      </c>
      <c r="B18" t="s">
        <v>78</v>
      </c>
    </row>
    <row r="19" spans="1:3" x14ac:dyDescent="0.2">
      <c r="A19" t="s">
        <v>110</v>
      </c>
      <c r="B19" t="s">
        <v>20</v>
      </c>
      <c r="C19" s="12" t="b">
        <v>1</v>
      </c>
    </row>
    <row r="20" spans="1:3" x14ac:dyDescent="0.2">
      <c r="A20" t="s">
        <v>110</v>
      </c>
      <c r="B20" t="s">
        <v>455</v>
      </c>
      <c r="C20" s="12" t="b">
        <v>1</v>
      </c>
    </row>
    <row r="21" spans="1:3" x14ac:dyDescent="0.2">
      <c r="A21" t="s">
        <v>110</v>
      </c>
      <c r="B21" t="s">
        <v>116</v>
      </c>
      <c r="C21" s="12" t="b">
        <v>1</v>
      </c>
    </row>
    <row r="22" spans="1:3" x14ac:dyDescent="0.2">
      <c r="A22" t="s">
        <v>110</v>
      </c>
      <c r="B22" t="s">
        <v>117</v>
      </c>
      <c r="C22" s="12" t="b">
        <v>0</v>
      </c>
    </row>
    <row r="23" spans="1:3" x14ac:dyDescent="0.2">
      <c r="A23" t="s">
        <v>110</v>
      </c>
      <c r="B23" t="s">
        <v>130</v>
      </c>
      <c r="C23" s="12" t="b">
        <v>1</v>
      </c>
    </row>
    <row r="24" spans="1:3" x14ac:dyDescent="0.2">
      <c r="A24" t="s">
        <v>110</v>
      </c>
      <c r="B24" t="s">
        <v>478</v>
      </c>
      <c r="C24" s="12" t="b">
        <v>0</v>
      </c>
    </row>
    <row r="25" spans="1:3" x14ac:dyDescent="0.2">
      <c r="A25" t="s">
        <v>110</v>
      </c>
      <c r="B25" t="s">
        <v>119</v>
      </c>
    </row>
    <row r="26" spans="1:3" x14ac:dyDescent="0.2">
      <c r="A26" t="s">
        <v>110</v>
      </c>
      <c r="B26" t="s">
        <v>462</v>
      </c>
    </row>
    <row r="27" spans="1:3" x14ac:dyDescent="0.2">
      <c r="A27" t="s">
        <v>427</v>
      </c>
      <c r="B27" t="s">
        <v>19</v>
      </c>
      <c r="C27" s="12" t="b">
        <v>1</v>
      </c>
    </row>
    <row r="28" spans="1:3" x14ac:dyDescent="0.2">
      <c r="A28" t="s">
        <v>427</v>
      </c>
      <c r="B28" t="s">
        <v>130</v>
      </c>
      <c r="C28" s="12" t="b">
        <v>1</v>
      </c>
    </row>
    <row r="29" spans="1:3" x14ac:dyDescent="0.2">
      <c r="A29" t="s">
        <v>427</v>
      </c>
      <c r="B29" t="s">
        <v>478</v>
      </c>
      <c r="C29" s="12" t="b">
        <v>0</v>
      </c>
    </row>
    <row r="30" spans="1:3" x14ac:dyDescent="0.2">
      <c r="A30" t="s">
        <v>429</v>
      </c>
      <c r="B30" t="s">
        <v>454</v>
      </c>
      <c r="C30" s="12" t="b">
        <v>1</v>
      </c>
    </row>
    <row r="31" spans="1:3" x14ac:dyDescent="0.2">
      <c r="A31" t="s">
        <v>429</v>
      </c>
      <c r="B31" t="s">
        <v>463</v>
      </c>
      <c r="C31" s="12" t="b">
        <v>1</v>
      </c>
    </row>
    <row r="32" spans="1:3" x14ac:dyDescent="0.2">
      <c r="A32" t="s">
        <v>429</v>
      </c>
      <c r="B32" t="s">
        <v>470</v>
      </c>
    </row>
    <row r="33" spans="1:3" x14ac:dyDescent="0.2">
      <c r="A33" t="s">
        <v>476</v>
      </c>
      <c r="B33" t="s">
        <v>477</v>
      </c>
      <c r="C33" s="12" t="b">
        <v>1</v>
      </c>
    </row>
    <row r="34" spans="1:3" x14ac:dyDescent="0.2">
      <c r="A34" t="s">
        <v>476</v>
      </c>
      <c r="B34" t="s">
        <v>130</v>
      </c>
      <c r="C34" s="12" t="b">
        <v>1</v>
      </c>
    </row>
    <row r="35" spans="1:3" x14ac:dyDescent="0.2">
      <c r="A35" t="s">
        <v>476</v>
      </c>
      <c r="B35" t="s">
        <v>478</v>
      </c>
      <c r="C35" s="12" t="b">
        <v>0</v>
      </c>
    </row>
    <row r="36" spans="1:3" x14ac:dyDescent="0.2">
      <c r="A36" t="s">
        <v>500</v>
      </c>
      <c r="B36" t="s">
        <v>130</v>
      </c>
      <c r="C36" s="12" t="b">
        <v>1</v>
      </c>
    </row>
    <row r="37" spans="1:3" x14ac:dyDescent="0.2">
      <c r="A37" t="s">
        <v>500</v>
      </c>
      <c r="B37" t="s">
        <v>478</v>
      </c>
      <c r="C37" s="12" t="b">
        <v>0</v>
      </c>
    </row>
  </sheetData>
  <dataValidations count="1">
    <dataValidation type="list" allowBlank="1" showInputMessage="1" showErrorMessage="1" sqref="B2:B37" xr:uid="{0BE42486-DEF0-1248-926D-65B6725AD6AD}">
      <formula1>INDIRECT("Fields[Name]")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C87C-8550-4403-90A7-0202471040F5}">
  <sheetPr>
    <tabColor theme="5" tint="0.59999389629810485"/>
  </sheetPr>
  <dimension ref="A1:B67"/>
  <sheetViews>
    <sheetView zoomScale="145" zoomScaleNormal="145" workbookViewId="0">
      <selection activeCell="E54" sqref="E54"/>
    </sheetView>
  </sheetViews>
  <sheetFormatPr baseColWidth="10" defaultColWidth="8.83203125" defaultRowHeight="15" x14ac:dyDescent="0.2"/>
  <cols>
    <col min="1" max="1" width="44.83203125" bestFit="1" customWidth="1"/>
  </cols>
  <sheetData>
    <row r="1" spans="1:2" x14ac:dyDescent="0.2">
      <c r="A1" t="s">
        <v>80</v>
      </c>
      <c r="B1" t="s">
        <v>81</v>
      </c>
    </row>
    <row r="2" spans="1:2" x14ac:dyDescent="0.2">
      <c r="A2" t="s">
        <v>167</v>
      </c>
      <c r="B2" t="s">
        <v>168</v>
      </c>
    </row>
    <row r="3" spans="1:2" x14ac:dyDescent="0.2">
      <c r="A3" t="s">
        <v>371</v>
      </c>
      <c r="B3" t="s">
        <v>380</v>
      </c>
    </row>
    <row r="4" spans="1:2" x14ac:dyDescent="0.2">
      <c r="A4" t="s">
        <v>388</v>
      </c>
      <c r="B4" t="s">
        <v>389</v>
      </c>
    </row>
    <row r="5" spans="1:2" x14ac:dyDescent="0.2">
      <c r="A5" t="s">
        <v>169</v>
      </c>
      <c r="B5" t="s">
        <v>170</v>
      </c>
    </row>
    <row r="6" spans="1:2" x14ac:dyDescent="0.2">
      <c r="A6" t="s">
        <v>171</v>
      </c>
      <c r="B6" t="s">
        <v>173</v>
      </c>
    </row>
    <row r="7" spans="1:2" x14ac:dyDescent="0.2">
      <c r="A7" t="s">
        <v>172</v>
      </c>
      <c r="B7" t="s">
        <v>174</v>
      </c>
    </row>
    <row r="8" spans="1:2" x14ac:dyDescent="0.2">
      <c r="A8" t="s">
        <v>175</v>
      </c>
      <c r="B8" t="s">
        <v>177</v>
      </c>
    </row>
    <row r="9" spans="1:2" x14ac:dyDescent="0.2">
      <c r="A9" t="s">
        <v>176</v>
      </c>
      <c r="B9" t="s">
        <v>177</v>
      </c>
    </row>
    <row r="10" spans="1:2" x14ac:dyDescent="0.2">
      <c r="A10" t="s">
        <v>248</v>
      </c>
      <c r="B10" t="s">
        <v>179</v>
      </c>
    </row>
    <row r="11" spans="1:2" x14ac:dyDescent="0.2">
      <c r="A11" t="s">
        <v>178</v>
      </c>
      <c r="B11" t="s">
        <v>179</v>
      </c>
    </row>
    <row r="12" spans="1:2" x14ac:dyDescent="0.2">
      <c r="A12" t="s">
        <v>86</v>
      </c>
      <c r="B12" t="s">
        <v>150</v>
      </c>
    </row>
    <row r="13" spans="1:2" x14ac:dyDescent="0.2">
      <c r="A13" t="s">
        <v>376</v>
      </c>
      <c r="B13" t="s">
        <v>377</v>
      </c>
    </row>
    <row r="14" spans="1:2" x14ac:dyDescent="0.2">
      <c r="A14" t="s">
        <v>140</v>
      </c>
      <c r="B14" t="s">
        <v>141</v>
      </c>
    </row>
    <row r="15" spans="1:2" x14ac:dyDescent="0.2">
      <c r="A15" t="s">
        <v>144</v>
      </c>
      <c r="B15" t="s">
        <v>146</v>
      </c>
    </row>
    <row r="16" spans="1:2" x14ac:dyDescent="0.2">
      <c r="A16" t="s">
        <v>64</v>
      </c>
      <c r="B16" t="s">
        <v>71</v>
      </c>
    </row>
    <row r="17" spans="1:2" x14ac:dyDescent="0.2">
      <c r="A17" t="s">
        <v>74</v>
      </c>
      <c r="B17" t="s">
        <v>75</v>
      </c>
    </row>
    <row r="18" spans="1:2" x14ac:dyDescent="0.2">
      <c r="A18" t="s">
        <v>235</v>
      </c>
      <c r="B18" t="s">
        <v>236</v>
      </c>
    </row>
    <row r="19" spans="1:2" x14ac:dyDescent="0.2">
      <c r="A19" t="s">
        <v>180</v>
      </c>
      <c r="B19" t="s">
        <v>181</v>
      </c>
    </row>
    <row r="20" spans="1:2" x14ac:dyDescent="0.2">
      <c r="A20" t="s">
        <v>151</v>
      </c>
      <c r="B20" t="s">
        <v>152</v>
      </c>
    </row>
    <row r="21" spans="1:2" x14ac:dyDescent="0.2">
      <c r="A21" t="s">
        <v>182</v>
      </c>
      <c r="B21" t="s">
        <v>183</v>
      </c>
    </row>
    <row r="22" spans="1:2" x14ac:dyDescent="0.2">
      <c r="A22" t="s">
        <v>184</v>
      </c>
      <c r="B22" t="s">
        <v>185</v>
      </c>
    </row>
    <row r="23" spans="1:2" x14ac:dyDescent="0.2">
      <c r="A23" t="s">
        <v>305</v>
      </c>
      <c r="B23" t="s">
        <v>372</v>
      </c>
    </row>
    <row r="24" spans="1:2" x14ac:dyDescent="0.2">
      <c r="A24" t="s">
        <v>373</v>
      </c>
      <c r="B24" t="s">
        <v>375</v>
      </c>
    </row>
    <row r="25" spans="1:2" x14ac:dyDescent="0.2">
      <c r="A25" t="s">
        <v>374</v>
      </c>
      <c r="B25" t="s">
        <v>375</v>
      </c>
    </row>
    <row r="26" spans="1:2" x14ac:dyDescent="0.2">
      <c r="A26" t="s">
        <v>156</v>
      </c>
      <c r="B26" t="s">
        <v>157</v>
      </c>
    </row>
    <row r="27" spans="1:2" x14ac:dyDescent="0.2">
      <c r="A27" t="s">
        <v>148</v>
      </c>
      <c r="B27" t="s">
        <v>149</v>
      </c>
    </row>
    <row r="28" spans="1:2" x14ac:dyDescent="0.2">
      <c r="A28" t="s">
        <v>188</v>
      </c>
      <c r="B28" t="s">
        <v>189</v>
      </c>
    </row>
    <row r="29" spans="1:2" x14ac:dyDescent="0.2">
      <c r="A29" t="s">
        <v>390</v>
      </c>
      <c r="B29" t="s">
        <v>391</v>
      </c>
    </row>
    <row r="30" spans="1:2" x14ac:dyDescent="0.2">
      <c r="A30" t="s">
        <v>186</v>
      </c>
      <c r="B30" t="s">
        <v>187</v>
      </c>
    </row>
    <row r="31" spans="1:2" x14ac:dyDescent="0.2">
      <c r="A31" t="s">
        <v>246</v>
      </c>
      <c r="B31" t="s">
        <v>247</v>
      </c>
    </row>
    <row r="32" spans="1:2" x14ac:dyDescent="0.2">
      <c r="A32" t="s">
        <v>67</v>
      </c>
      <c r="B32" t="s">
        <v>68</v>
      </c>
    </row>
    <row r="33" spans="1:2" x14ac:dyDescent="0.2">
      <c r="A33" t="s">
        <v>72</v>
      </c>
      <c r="B33" t="s">
        <v>73</v>
      </c>
    </row>
    <row r="34" spans="1:2" x14ac:dyDescent="0.2">
      <c r="A34" t="s">
        <v>66</v>
      </c>
      <c r="B34" t="s">
        <v>69</v>
      </c>
    </row>
    <row r="35" spans="1:2" x14ac:dyDescent="0.2">
      <c r="A35" t="s">
        <v>190</v>
      </c>
      <c r="B35" t="s">
        <v>191</v>
      </c>
    </row>
    <row r="36" spans="1:2" x14ac:dyDescent="0.2">
      <c r="A36" t="s">
        <v>76</v>
      </c>
      <c r="B36" t="s">
        <v>77</v>
      </c>
    </row>
    <row r="37" spans="1:2" x14ac:dyDescent="0.2">
      <c r="A37" t="s">
        <v>17</v>
      </c>
      <c r="B37" t="s">
        <v>62</v>
      </c>
    </row>
    <row r="38" spans="1:2" x14ac:dyDescent="0.2">
      <c r="A38" t="s">
        <v>192</v>
      </c>
      <c r="B38" t="s">
        <v>193</v>
      </c>
    </row>
    <row r="39" spans="1:2" x14ac:dyDescent="0.2">
      <c r="A39" t="s">
        <v>138</v>
      </c>
      <c r="B39" t="s">
        <v>139</v>
      </c>
    </row>
    <row r="40" spans="1:2" x14ac:dyDescent="0.2">
      <c r="A40" t="s">
        <v>194</v>
      </c>
      <c r="B40" t="s">
        <v>195</v>
      </c>
    </row>
    <row r="41" spans="1:2" x14ac:dyDescent="0.2">
      <c r="A41" t="s">
        <v>196</v>
      </c>
      <c r="B41" t="s">
        <v>197</v>
      </c>
    </row>
    <row r="42" spans="1:2" x14ac:dyDescent="0.2">
      <c r="A42" t="s">
        <v>199</v>
      </c>
      <c r="B42" t="s">
        <v>201</v>
      </c>
    </row>
    <row r="43" spans="1:2" x14ac:dyDescent="0.2">
      <c r="A43" t="s">
        <v>198</v>
      </c>
      <c r="B43" t="s">
        <v>200</v>
      </c>
    </row>
    <row r="44" spans="1:2" x14ac:dyDescent="0.2">
      <c r="A44" t="s">
        <v>16</v>
      </c>
      <c r="B44" t="s">
        <v>63</v>
      </c>
    </row>
    <row r="45" spans="1:2" x14ac:dyDescent="0.2">
      <c r="A45" t="s">
        <v>142</v>
      </c>
      <c r="B45" t="s">
        <v>143</v>
      </c>
    </row>
    <row r="46" spans="1:2" x14ac:dyDescent="0.2">
      <c r="A46" t="s">
        <v>18</v>
      </c>
      <c r="B46" t="s">
        <v>61</v>
      </c>
    </row>
    <row r="47" spans="1:2" x14ac:dyDescent="0.2">
      <c r="A47" t="s">
        <v>202</v>
      </c>
      <c r="B47" t="s">
        <v>203</v>
      </c>
    </row>
    <row r="48" spans="1:2" x14ac:dyDescent="0.2">
      <c r="A48" t="s">
        <v>249</v>
      </c>
      <c r="B48" t="s">
        <v>122</v>
      </c>
    </row>
    <row r="49" spans="1:2" x14ac:dyDescent="0.2">
      <c r="A49" t="s">
        <v>121</v>
      </c>
      <c r="B49" t="s">
        <v>122</v>
      </c>
    </row>
    <row r="50" spans="1:2" x14ac:dyDescent="0.2">
      <c r="A50" t="s">
        <v>65</v>
      </c>
      <c r="B50" t="s">
        <v>70</v>
      </c>
    </row>
    <row r="51" spans="1:2" x14ac:dyDescent="0.2">
      <c r="A51" t="s">
        <v>204</v>
      </c>
      <c r="B51" t="s">
        <v>205</v>
      </c>
    </row>
    <row r="52" spans="1:2" x14ac:dyDescent="0.2">
      <c r="A52" t="s">
        <v>136</v>
      </c>
      <c r="B52" t="s">
        <v>137</v>
      </c>
    </row>
    <row r="53" spans="1:2" x14ac:dyDescent="0.2">
      <c r="A53" t="s">
        <v>164</v>
      </c>
      <c r="B53" t="s">
        <v>165</v>
      </c>
    </row>
    <row r="54" spans="1:2" x14ac:dyDescent="0.2">
      <c r="A54" t="s">
        <v>206</v>
      </c>
      <c r="B54" t="s">
        <v>207</v>
      </c>
    </row>
    <row r="55" spans="1:2" x14ac:dyDescent="0.2">
      <c r="A55" t="s">
        <v>208</v>
      </c>
      <c r="B55" t="s">
        <v>210</v>
      </c>
    </row>
    <row r="56" spans="1:2" x14ac:dyDescent="0.2">
      <c r="A56" t="s">
        <v>209</v>
      </c>
      <c r="B56" t="s">
        <v>211</v>
      </c>
    </row>
    <row r="57" spans="1:2" x14ac:dyDescent="0.2">
      <c r="A57" t="s">
        <v>163</v>
      </c>
      <c r="B57" t="s">
        <v>212</v>
      </c>
    </row>
    <row r="58" spans="1:2" x14ac:dyDescent="0.2">
      <c r="A58" t="s">
        <v>378</v>
      </c>
      <c r="B58" t="s">
        <v>379</v>
      </c>
    </row>
    <row r="59" spans="1:2" x14ac:dyDescent="0.2">
      <c r="A59" t="s">
        <v>213</v>
      </c>
      <c r="B59" t="s">
        <v>214</v>
      </c>
    </row>
    <row r="60" spans="1:2" x14ac:dyDescent="0.2">
      <c r="A60" t="s">
        <v>215</v>
      </c>
      <c r="B60" t="s">
        <v>216</v>
      </c>
    </row>
    <row r="61" spans="1:2" x14ac:dyDescent="0.2">
      <c r="A61" t="s">
        <v>166</v>
      </c>
      <c r="B61" t="s">
        <v>155</v>
      </c>
    </row>
    <row r="62" spans="1:2" x14ac:dyDescent="0.2">
      <c r="A62" t="s">
        <v>153</v>
      </c>
      <c r="B62" t="s">
        <v>154</v>
      </c>
    </row>
    <row r="63" spans="1:2" x14ac:dyDescent="0.2">
      <c r="A63" t="s">
        <v>217</v>
      </c>
      <c r="B63" t="s">
        <v>218</v>
      </c>
    </row>
    <row r="64" spans="1:2" x14ac:dyDescent="0.2">
      <c r="A64" t="s">
        <v>394</v>
      </c>
      <c r="B64" t="s">
        <v>396</v>
      </c>
    </row>
    <row r="65" spans="1:2" x14ac:dyDescent="0.2">
      <c r="A65" t="s">
        <v>398</v>
      </c>
      <c r="B65" t="s">
        <v>399</v>
      </c>
    </row>
    <row r="66" spans="1:2" x14ac:dyDescent="0.2">
      <c r="A66" t="s">
        <v>408</v>
      </c>
      <c r="B66" t="s">
        <v>410</v>
      </c>
    </row>
    <row r="67" spans="1:2" x14ac:dyDescent="0.2">
      <c r="A67" t="s">
        <v>409</v>
      </c>
      <c r="B67" t="s">
        <v>411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T68"/>
  <sheetViews>
    <sheetView topLeftCell="A33" zoomScale="115" zoomScaleNormal="115" workbookViewId="0">
      <selection activeCell="M32" sqref="M32"/>
    </sheetView>
  </sheetViews>
  <sheetFormatPr baseColWidth="10" defaultColWidth="8.83203125" defaultRowHeight="15" x14ac:dyDescent="0.2"/>
  <cols>
    <col min="1" max="1" width="14.5" bestFit="1" customWidth="1"/>
    <col min="5" max="5" width="70.5" bestFit="1" customWidth="1"/>
    <col min="6" max="6" width="11.83203125" bestFit="1" customWidth="1"/>
    <col min="7" max="7" width="14.5" bestFit="1" customWidth="1"/>
    <col min="9" max="9" width="16.33203125" bestFit="1" customWidth="1"/>
    <col min="11" max="11" width="30.83203125" bestFit="1" customWidth="1"/>
    <col min="12" max="12" width="7.83203125" bestFit="1" customWidth="1"/>
    <col min="15" max="15" width="54.6640625" customWidth="1"/>
    <col min="16" max="16" width="36.1640625" bestFit="1" customWidth="1"/>
    <col min="18" max="18" width="29.6640625" bestFit="1" customWidth="1"/>
    <col min="19" max="19" width="23.1640625" bestFit="1" customWidth="1"/>
    <col min="20" max="20" width="35.6640625" bestFit="1" customWidth="1"/>
  </cols>
  <sheetData>
    <row r="1" spans="1:7" x14ac:dyDescent="0.2">
      <c r="A1" t="s">
        <v>0</v>
      </c>
      <c r="B1" t="s">
        <v>229</v>
      </c>
    </row>
    <row r="2" spans="1:7" x14ac:dyDescent="0.2">
      <c r="A2" t="s">
        <v>21</v>
      </c>
      <c r="B2" t="s">
        <v>26</v>
      </c>
    </row>
    <row r="3" spans="1:7" x14ac:dyDescent="0.2">
      <c r="A3" t="s">
        <v>22</v>
      </c>
      <c r="B3" t="s">
        <v>27</v>
      </c>
    </row>
    <row r="4" spans="1:7" x14ac:dyDescent="0.2">
      <c r="A4" t="s">
        <v>23</v>
      </c>
      <c r="B4" t="s">
        <v>28</v>
      </c>
    </row>
    <row r="5" spans="1:7" x14ac:dyDescent="0.2">
      <c r="A5" t="s">
        <v>24</v>
      </c>
      <c r="B5" t="s">
        <v>29</v>
      </c>
    </row>
    <row r="6" spans="1:7" x14ac:dyDescent="0.2">
      <c r="A6" t="s">
        <v>25</v>
      </c>
      <c r="B6" t="s">
        <v>30</v>
      </c>
    </row>
    <row r="7" spans="1:7" x14ac:dyDescent="0.2">
      <c r="A7" t="s">
        <v>33</v>
      </c>
      <c r="B7" t="s">
        <v>31</v>
      </c>
    </row>
    <row r="8" spans="1:7" x14ac:dyDescent="0.2">
      <c r="A8" t="s">
        <v>34</v>
      </c>
      <c r="B8" t="s">
        <v>32</v>
      </c>
    </row>
    <row r="10" spans="1:7" x14ac:dyDescent="0.2">
      <c r="D10" t="s">
        <v>19</v>
      </c>
      <c r="E10" t="s">
        <v>12</v>
      </c>
      <c r="F10" t="s">
        <v>78</v>
      </c>
      <c r="G10" t="s">
        <v>20</v>
      </c>
    </row>
    <row r="11" spans="1:7" x14ac:dyDescent="0.2">
      <c r="D11" t="s">
        <v>35</v>
      </c>
      <c r="E11" t="s">
        <v>36</v>
      </c>
      <c r="F11" t="str">
        <f>SUBSTITUTE(FPIDs[[#This Row],[FPID]], "-", "")&amp;"5201"</f>
        <v>20121085201</v>
      </c>
      <c r="G11" t="s">
        <v>33</v>
      </c>
    </row>
    <row r="12" spans="1:7" x14ac:dyDescent="0.2">
      <c r="D12" t="s">
        <v>37</v>
      </c>
      <c r="E12" t="s">
        <v>38</v>
      </c>
      <c r="F12" t="str">
        <f>SUBSTITUTE(FPIDs[[#This Row],[FPID]], "-", "")&amp;"5201"</f>
        <v>43145665201</v>
      </c>
      <c r="G12" t="s">
        <v>34</v>
      </c>
    </row>
    <row r="13" spans="1:7" x14ac:dyDescent="0.2">
      <c r="D13" t="s">
        <v>39</v>
      </c>
      <c r="E13" t="s">
        <v>40</v>
      </c>
      <c r="F13" t="str">
        <f>SUBSTITUTE(FPIDs[[#This Row],[FPID]], "-", "")&amp;"5201"</f>
        <v>43145675201</v>
      </c>
      <c r="G13" t="s">
        <v>21</v>
      </c>
    </row>
    <row r="14" spans="1:7" x14ac:dyDescent="0.2">
      <c r="D14" t="s">
        <v>41</v>
      </c>
      <c r="E14" t="s">
        <v>42</v>
      </c>
      <c r="F14" t="str">
        <f>SUBSTITUTE(FPIDs[[#This Row],[FPID]], "-", "")&amp;"5201"</f>
        <v>44588315201</v>
      </c>
      <c r="G14" t="s">
        <v>21</v>
      </c>
    </row>
    <row r="15" spans="1:7" x14ac:dyDescent="0.2">
      <c r="D15" t="s">
        <v>43</v>
      </c>
      <c r="E15" t="s">
        <v>44</v>
      </c>
      <c r="F15" t="str">
        <f>SUBSTITUTE(FPIDs[[#This Row],[FPID]], "-", "")&amp;"5201"</f>
        <v>44588325201</v>
      </c>
      <c r="G15" t="s">
        <v>21</v>
      </c>
    </row>
    <row r="16" spans="1:7" x14ac:dyDescent="0.2">
      <c r="D16" t="s">
        <v>45</v>
      </c>
      <c r="E16" t="s">
        <v>46</v>
      </c>
      <c r="F16" t="str">
        <f>SUBSTITUTE(FPIDs[[#This Row],[FPID]], "-", "")&amp;"5201"</f>
        <v>43145635201</v>
      </c>
      <c r="G16" t="s">
        <v>22</v>
      </c>
    </row>
    <row r="17" spans="4:13" x14ac:dyDescent="0.2">
      <c r="D17" t="s">
        <v>47</v>
      </c>
      <c r="E17" t="s">
        <v>48</v>
      </c>
      <c r="F17" t="str">
        <f>SUBSTITUTE(FPIDs[[#This Row],[FPID]], "-", "")&amp;"5201"</f>
        <v>44658165201</v>
      </c>
      <c r="G17" t="s">
        <v>22</v>
      </c>
    </row>
    <row r="18" spans="4:13" x14ac:dyDescent="0.2">
      <c r="D18" t="s">
        <v>49</v>
      </c>
      <c r="E18" t="s">
        <v>50</v>
      </c>
      <c r="F18" t="str">
        <f>SUBSTITUTE(FPIDs[[#This Row],[FPID]], "-", "")&amp;"5201"</f>
        <v>44658135201</v>
      </c>
      <c r="G18" t="s">
        <v>22</v>
      </c>
    </row>
    <row r="19" spans="4:13" x14ac:dyDescent="0.2">
      <c r="D19" t="s">
        <v>51</v>
      </c>
      <c r="E19" t="s">
        <v>52</v>
      </c>
      <c r="F19" t="str">
        <f>SUBSTITUTE(FPIDs[[#This Row],[FPID]], "-", "")&amp;"5201"</f>
        <v>20121095201</v>
      </c>
      <c r="G19" t="s">
        <v>23</v>
      </c>
    </row>
    <row r="20" spans="4:13" x14ac:dyDescent="0.2">
      <c r="D20" t="s">
        <v>53</v>
      </c>
      <c r="E20" t="s">
        <v>54</v>
      </c>
      <c r="F20" t="str">
        <f>SUBSTITUTE(FPIDs[[#This Row],[FPID]], "-", "")&amp;"5201"</f>
        <v>45138125201</v>
      </c>
      <c r="G20" t="s">
        <v>23</v>
      </c>
    </row>
    <row r="21" spans="4:13" x14ac:dyDescent="0.2">
      <c r="D21" t="s">
        <v>55</v>
      </c>
      <c r="E21" t="s">
        <v>56</v>
      </c>
      <c r="F21" t="str">
        <f>SUBSTITUTE(FPIDs[[#This Row],[FPID]], "-", "")&amp;"5201"</f>
        <v>43145625201</v>
      </c>
      <c r="G21" t="s">
        <v>24</v>
      </c>
    </row>
    <row r="22" spans="4:13" x14ac:dyDescent="0.2">
      <c r="D22" t="s">
        <v>57</v>
      </c>
      <c r="E22" t="s">
        <v>58</v>
      </c>
      <c r="F22" t="str">
        <f>SUBSTITUTE(FPIDs[[#This Row],[FPID]], "-", "")&amp;"5201"</f>
        <v>45315935201</v>
      </c>
      <c r="G22" t="s">
        <v>24</v>
      </c>
    </row>
    <row r="23" spans="4:13" x14ac:dyDescent="0.2">
      <c r="D23" t="s">
        <v>59</v>
      </c>
      <c r="E23" t="s">
        <v>60</v>
      </c>
      <c r="F23" t="str">
        <f>SUBSTITUTE(FPIDs[[#This Row],[FPID]], "-", "")&amp;"5201"</f>
        <v>44658145201</v>
      </c>
      <c r="G23" t="s">
        <v>25</v>
      </c>
    </row>
    <row r="25" spans="4:13" x14ac:dyDescent="0.2">
      <c r="I25" t="s">
        <v>0</v>
      </c>
    </row>
    <row r="26" spans="4:13" x14ac:dyDescent="0.2">
      <c r="I26" t="s">
        <v>84</v>
      </c>
    </row>
    <row r="27" spans="4:13" x14ac:dyDescent="0.2">
      <c r="I27" t="s">
        <v>85</v>
      </c>
    </row>
    <row r="28" spans="4:13" x14ac:dyDescent="0.2">
      <c r="I28" t="s">
        <v>86</v>
      </c>
    </row>
    <row r="29" spans="4:13" x14ac:dyDescent="0.2">
      <c r="I29" t="s">
        <v>87</v>
      </c>
    </row>
    <row r="31" spans="4:13" x14ac:dyDescent="0.2">
      <c r="K31" t="s">
        <v>0</v>
      </c>
      <c r="L31" t="s">
        <v>469</v>
      </c>
      <c r="M31" t="s">
        <v>138</v>
      </c>
    </row>
    <row r="32" spans="4:13" x14ac:dyDescent="0.2">
      <c r="K32" t="s">
        <v>268</v>
      </c>
      <c r="M32" t="s">
        <v>269</v>
      </c>
    </row>
    <row r="33" spans="11:16" x14ac:dyDescent="0.2">
      <c r="K33" t="s">
        <v>106</v>
      </c>
      <c r="M33" t="s">
        <v>270</v>
      </c>
    </row>
    <row r="34" spans="11:16" x14ac:dyDescent="0.2">
      <c r="K34" t="s">
        <v>107</v>
      </c>
      <c r="M34" t="s">
        <v>271</v>
      </c>
    </row>
    <row r="35" spans="11:16" x14ac:dyDescent="0.2">
      <c r="K35" t="s">
        <v>108</v>
      </c>
      <c r="M35" t="s">
        <v>272</v>
      </c>
    </row>
    <row r="36" spans="11:16" x14ac:dyDescent="0.2">
      <c r="K36" t="s">
        <v>278</v>
      </c>
      <c r="L36" t="s">
        <v>88</v>
      </c>
      <c r="M36" t="s">
        <v>279</v>
      </c>
    </row>
    <row r="37" spans="11:16" x14ac:dyDescent="0.2">
      <c r="K37" t="s">
        <v>97</v>
      </c>
      <c r="L37" t="s">
        <v>88</v>
      </c>
      <c r="M37" t="s">
        <v>273</v>
      </c>
    </row>
    <row r="38" spans="11:16" x14ac:dyDescent="0.2">
      <c r="K38" t="s">
        <v>98</v>
      </c>
      <c r="L38" t="s">
        <v>89</v>
      </c>
      <c r="M38" t="s">
        <v>274</v>
      </c>
    </row>
    <row r="39" spans="11:16" x14ac:dyDescent="0.2">
      <c r="K39" t="s">
        <v>275</v>
      </c>
      <c r="L39" t="s">
        <v>276</v>
      </c>
      <c r="M39" t="s">
        <v>277</v>
      </c>
    </row>
    <row r="40" spans="11:16" x14ac:dyDescent="0.2">
      <c r="K40" t="s">
        <v>99</v>
      </c>
      <c r="L40" t="s">
        <v>90</v>
      </c>
      <c r="M40" t="s">
        <v>123</v>
      </c>
    </row>
    <row r="41" spans="11:16" x14ac:dyDescent="0.2">
      <c r="K41" t="s">
        <v>100</v>
      </c>
      <c r="L41" t="s">
        <v>91</v>
      </c>
      <c r="M41" t="s">
        <v>123</v>
      </c>
    </row>
    <row r="42" spans="11:16" x14ac:dyDescent="0.2">
      <c r="K42" t="s">
        <v>101</v>
      </c>
      <c r="L42" t="s">
        <v>92</v>
      </c>
      <c r="M42" t="s">
        <v>123</v>
      </c>
    </row>
    <row r="43" spans="11:16" x14ac:dyDescent="0.2">
      <c r="K43" t="s">
        <v>102</v>
      </c>
      <c r="L43" t="s">
        <v>93</v>
      </c>
      <c r="M43" t="s">
        <v>123</v>
      </c>
    </row>
    <row r="44" spans="11:16" x14ac:dyDescent="0.2">
      <c r="K44" t="s">
        <v>103</v>
      </c>
      <c r="L44" t="s">
        <v>94</v>
      </c>
      <c r="M44" t="s">
        <v>123</v>
      </c>
    </row>
    <row r="45" spans="11:16" x14ac:dyDescent="0.2">
      <c r="K45" t="s">
        <v>104</v>
      </c>
      <c r="L45" t="s">
        <v>95</v>
      </c>
      <c r="M45" t="s">
        <v>123</v>
      </c>
    </row>
    <row r="46" spans="11:16" x14ac:dyDescent="0.2">
      <c r="K46" t="s">
        <v>105</v>
      </c>
      <c r="L46" t="s">
        <v>96</v>
      </c>
      <c r="M46" t="s">
        <v>123</v>
      </c>
    </row>
    <row r="48" spans="11:16" x14ac:dyDescent="0.2">
      <c r="O48" t="s">
        <v>0</v>
      </c>
      <c r="P48" t="s">
        <v>229</v>
      </c>
    </row>
    <row r="49" spans="15:20" x14ac:dyDescent="0.2">
      <c r="O49" t="s">
        <v>253</v>
      </c>
      <c r="P49" t="s">
        <v>219</v>
      </c>
    </row>
    <row r="50" spans="15:20" x14ac:dyDescent="0.2">
      <c r="O50" t="s">
        <v>254</v>
      </c>
      <c r="P50" t="s">
        <v>220</v>
      </c>
    </row>
    <row r="51" spans="15:20" x14ac:dyDescent="0.2">
      <c r="O51" t="s">
        <v>255</v>
      </c>
      <c r="P51" t="s">
        <v>221</v>
      </c>
    </row>
    <row r="52" spans="15:20" x14ac:dyDescent="0.2">
      <c r="O52" t="s">
        <v>256</v>
      </c>
      <c r="P52" t="s">
        <v>222</v>
      </c>
    </row>
    <row r="53" spans="15:20" x14ac:dyDescent="0.2">
      <c r="O53" t="s">
        <v>257</v>
      </c>
      <c r="P53" t="s">
        <v>223</v>
      </c>
    </row>
    <row r="54" spans="15:20" x14ac:dyDescent="0.2">
      <c r="O54" t="s">
        <v>258</v>
      </c>
      <c r="P54" t="s">
        <v>224</v>
      </c>
    </row>
    <row r="55" spans="15:20" x14ac:dyDescent="0.2">
      <c r="O55" t="s">
        <v>259</v>
      </c>
      <c r="P55" t="s">
        <v>225</v>
      </c>
    </row>
    <row r="56" spans="15:20" x14ac:dyDescent="0.2">
      <c r="O56" t="s">
        <v>260</v>
      </c>
      <c r="P56" t="s">
        <v>226</v>
      </c>
    </row>
    <row r="57" spans="15:20" x14ac:dyDescent="0.2">
      <c r="O57" t="s">
        <v>261</v>
      </c>
      <c r="P57" t="s">
        <v>228</v>
      </c>
    </row>
    <row r="58" spans="15:20" x14ac:dyDescent="0.2">
      <c r="O58" t="s">
        <v>262</v>
      </c>
      <c r="P58" t="s">
        <v>227</v>
      </c>
    </row>
    <row r="59" spans="15:20" x14ac:dyDescent="0.2">
      <c r="O59" t="s">
        <v>263</v>
      </c>
      <c r="P59" t="s">
        <v>230</v>
      </c>
    </row>
    <row r="60" spans="15:20" ht="16" x14ac:dyDescent="0.2">
      <c r="O60" s="9" t="s">
        <v>264</v>
      </c>
      <c r="P60" t="s">
        <v>231</v>
      </c>
    </row>
    <row r="61" spans="15:20" x14ac:dyDescent="0.2">
      <c r="O61" t="s">
        <v>265</v>
      </c>
      <c r="P61" t="s">
        <v>232</v>
      </c>
    </row>
    <row r="62" spans="15:20" x14ac:dyDescent="0.2">
      <c r="O62" t="s">
        <v>267</v>
      </c>
      <c r="P62" t="s">
        <v>79</v>
      </c>
    </row>
    <row r="64" spans="15:20" x14ac:dyDescent="0.2">
      <c r="R64" t="s">
        <v>0</v>
      </c>
      <c r="S64" t="s">
        <v>425</v>
      </c>
      <c r="T64" t="s">
        <v>469</v>
      </c>
    </row>
    <row r="65" spans="18:20" x14ac:dyDescent="0.2">
      <c r="R65" t="s">
        <v>420</v>
      </c>
      <c r="S65" t="s">
        <v>421</v>
      </c>
      <c r="T65" t="s">
        <v>465</v>
      </c>
    </row>
    <row r="66" spans="18:20" x14ac:dyDescent="0.2">
      <c r="R66" t="s">
        <v>422</v>
      </c>
      <c r="S66" t="s">
        <v>436</v>
      </c>
      <c r="T66" t="s">
        <v>466</v>
      </c>
    </row>
    <row r="67" spans="18:20" x14ac:dyDescent="0.2">
      <c r="R67" t="s">
        <v>424</v>
      </c>
      <c r="S67" t="s">
        <v>435</v>
      </c>
      <c r="T67" t="s">
        <v>467</v>
      </c>
    </row>
    <row r="68" spans="18:20" x14ac:dyDescent="0.2">
      <c r="R68" t="s">
        <v>423</v>
      </c>
      <c r="S68" t="s">
        <v>437</v>
      </c>
      <c r="T68" t="s">
        <v>468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5C07-E454-468F-A7ED-9BD1C318AD5C}">
  <dimension ref="A1:B91"/>
  <sheetViews>
    <sheetView topLeftCell="A58" workbookViewId="0">
      <selection activeCell="B41" sqref="B41"/>
    </sheetView>
  </sheetViews>
  <sheetFormatPr baseColWidth="10" defaultColWidth="8.83203125" defaultRowHeight="15" x14ac:dyDescent="0.2"/>
  <cols>
    <col min="1" max="1" width="45.6640625" bestFit="1" customWidth="1"/>
    <col min="2" max="2" width="14.5" bestFit="1" customWidth="1"/>
  </cols>
  <sheetData>
    <row r="1" spans="1:2" x14ac:dyDescent="0.2">
      <c r="A1" t="s">
        <v>0</v>
      </c>
      <c r="B1" t="s">
        <v>366</v>
      </c>
    </row>
    <row r="2" spans="1:2" x14ac:dyDescent="0.2">
      <c r="A2" t="s">
        <v>280</v>
      </c>
      <c r="B2" t="s">
        <v>367</v>
      </c>
    </row>
    <row r="3" spans="1:2" x14ac:dyDescent="0.2">
      <c r="A3" t="s">
        <v>281</v>
      </c>
      <c r="B3" t="s">
        <v>367</v>
      </c>
    </row>
    <row r="4" spans="1:2" x14ac:dyDescent="0.2">
      <c r="A4" t="s">
        <v>282</v>
      </c>
      <c r="B4" t="s">
        <v>367</v>
      </c>
    </row>
    <row r="5" spans="1:2" x14ac:dyDescent="0.2">
      <c r="A5" t="s">
        <v>283</v>
      </c>
      <c r="B5" t="s">
        <v>367</v>
      </c>
    </row>
    <row r="6" spans="1:2" x14ac:dyDescent="0.2">
      <c r="A6" t="s">
        <v>159</v>
      </c>
      <c r="B6" t="s">
        <v>367</v>
      </c>
    </row>
    <row r="7" spans="1:2" x14ac:dyDescent="0.2">
      <c r="A7" t="s">
        <v>381</v>
      </c>
      <c r="B7" t="s">
        <v>367</v>
      </c>
    </row>
    <row r="8" spans="1:2" x14ac:dyDescent="0.2">
      <c r="A8" t="s">
        <v>284</v>
      </c>
      <c r="B8" t="s">
        <v>367</v>
      </c>
    </row>
    <row r="9" spans="1:2" x14ac:dyDescent="0.2">
      <c r="A9" t="s">
        <v>285</v>
      </c>
      <c r="B9" t="s">
        <v>367</v>
      </c>
    </row>
    <row r="10" spans="1:2" x14ac:dyDescent="0.2">
      <c r="A10" t="s">
        <v>286</v>
      </c>
      <c r="B10" t="s">
        <v>367</v>
      </c>
    </row>
    <row r="11" spans="1:2" x14ac:dyDescent="0.2">
      <c r="A11" t="s">
        <v>287</v>
      </c>
      <c r="B11" t="s">
        <v>367</v>
      </c>
    </row>
    <row r="12" spans="1:2" x14ac:dyDescent="0.2">
      <c r="A12" t="s">
        <v>288</v>
      </c>
      <c r="B12" t="s">
        <v>367</v>
      </c>
    </row>
    <row r="13" spans="1:2" x14ac:dyDescent="0.2">
      <c r="A13" t="s">
        <v>289</v>
      </c>
      <c r="B13" t="s">
        <v>367</v>
      </c>
    </row>
    <row r="14" spans="1:2" x14ac:dyDescent="0.2">
      <c r="A14" t="s">
        <v>290</v>
      </c>
      <c r="B14" t="s">
        <v>367</v>
      </c>
    </row>
    <row r="15" spans="1:2" x14ac:dyDescent="0.2">
      <c r="A15" t="s">
        <v>129</v>
      </c>
      <c r="B15" t="s">
        <v>65</v>
      </c>
    </row>
    <row r="16" spans="1:2" x14ac:dyDescent="0.2">
      <c r="A16" t="s">
        <v>291</v>
      </c>
      <c r="B16" t="s">
        <v>65</v>
      </c>
    </row>
    <row r="17" spans="1:2" x14ac:dyDescent="0.2">
      <c r="A17" t="s">
        <v>292</v>
      </c>
      <c r="B17" t="s">
        <v>65</v>
      </c>
    </row>
    <row r="18" spans="1:2" x14ac:dyDescent="0.2">
      <c r="A18" t="s">
        <v>293</v>
      </c>
      <c r="B18" t="s">
        <v>65</v>
      </c>
    </row>
    <row r="19" spans="1:2" x14ac:dyDescent="0.2">
      <c r="A19" t="s">
        <v>294</v>
      </c>
      <c r="B19" t="s">
        <v>65</v>
      </c>
    </row>
    <row r="20" spans="1:2" x14ac:dyDescent="0.2">
      <c r="A20" t="s">
        <v>295</v>
      </c>
      <c r="B20" t="s">
        <v>65</v>
      </c>
    </row>
    <row r="21" spans="1:2" x14ac:dyDescent="0.2">
      <c r="A21" t="s">
        <v>296</v>
      </c>
      <c r="B21" t="s">
        <v>65</v>
      </c>
    </row>
    <row r="22" spans="1:2" x14ac:dyDescent="0.2">
      <c r="A22" t="s">
        <v>297</v>
      </c>
      <c r="B22" t="s">
        <v>65</v>
      </c>
    </row>
    <row r="23" spans="1:2" x14ac:dyDescent="0.2">
      <c r="A23" t="s">
        <v>298</v>
      </c>
      <c r="B23" t="s">
        <v>65</v>
      </c>
    </row>
    <row r="24" spans="1:2" x14ac:dyDescent="0.2">
      <c r="A24" t="s">
        <v>299</v>
      </c>
      <c r="B24" t="s">
        <v>65</v>
      </c>
    </row>
    <row r="25" spans="1:2" x14ac:dyDescent="0.2">
      <c r="A25" t="s">
        <v>300</v>
      </c>
      <c r="B25" t="s">
        <v>65</v>
      </c>
    </row>
    <row r="26" spans="1:2" x14ac:dyDescent="0.2">
      <c r="A26" t="s">
        <v>301</v>
      </c>
      <c r="B26" t="s">
        <v>65</v>
      </c>
    </row>
    <row r="27" spans="1:2" x14ac:dyDescent="0.2">
      <c r="A27" t="s">
        <v>302</v>
      </c>
      <c r="B27" t="s">
        <v>65</v>
      </c>
    </row>
    <row r="28" spans="1:2" x14ac:dyDescent="0.2">
      <c r="A28" t="s">
        <v>303</v>
      </c>
      <c r="B28" t="s">
        <v>65</v>
      </c>
    </row>
    <row r="29" spans="1:2" x14ac:dyDescent="0.2">
      <c r="A29" t="s">
        <v>304</v>
      </c>
      <c r="B29" t="s">
        <v>65</v>
      </c>
    </row>
    <row r="30" spans="1:2" x14ac:dyDescent="0.2">
      <c r="A30" t="s">
        <v>305</v>
      </c>
      <c r="B30" t="s">
        <v>65</v>
      </c>
    </row>
    <row r="31" spans="1:2" x14ac:dyDescent="0.2">
      <c r="A31" t="s">
        <v>306</v>
      </c>
      <c r="B31" t="s">
        <v>65</v>
      </c>
    </row>
    <row r="32" spans="1:2" x14ac:dyDescent="0.2">
      <c r="A32" t="s">
        <v>307</v>
      </c>
      <c r="B32" t="s">
        <v>65</v>
      </c>
    </row>
    <row r="33" spans="1:2" x14ac:dyDescent="0.2">
      <c r="A33" t="s">
        <v>308</v>
      </c>
      <c r="B33" t="s">
        <v>64</v>
      </c>
    </row>
    <row r="34" spans="1:2" x14ac:dyDescent="0.2">
      <c r="A34" t="s">
        <v>309</v>
      </c>
      <c r="B34" t="s">
        <v>64</v>
      </c>
    </row>
    <row r="35" spans="1:2" x14ac:dyDescent="0.2">
      <c r="A35" t="s">
        <v>310</v>
      </c>
      <c r="B35" t="s">
        <v>64</v>
      </c>
    </row>
    <row r="36" spans="1:2" x14ac:dyDescent="0.2">
      <c r="A36" t="s">
        <v>311</v>
      </c>
      <c r="B36" t="s">
        <v>64</v>
      </c>
    </row>
    <row r="37" spans="1:2" x14ac:dyDescent="0.2">
      <c r="A37" t="s">
        <v>312</v>
      </c>
      <c r="B37" t="s">
        <v>64</v>
      </c>
    </row>
    <row r="38" spans="1:2" x14ac:dyDescent="0.2">
      <c r="A38" t="s">
        <v>313</v>
      </c>
      <c r="B38" t="s">
        <v>64</v>
      </c>
    </row>
    <row r="39" spans="1:2" x14ac:dyDescent="0.2">
      <c r="A39" t="s">
        <v>314</v>
      </c>
      <c r="B39" t="s">
        <v>492</v>
      </c>
    </row>
    <row r="40" spans="1:2" x14ac:dyDescent="0.2">
      <c r="A40" t="s">
        <v>315</v>
      </c>
      <c r="B40" t="s">
        <v>492</v>
      </c>
    </row>
    <row r="41" spans="1:2" x14ac:dyDescent="0.2">
      <c r="A41" t="s">
        <v>316</v>
      </c>
      <c r="B41" t="s">
        <v>492</v>
      </c>
    </row>
    <row r="42" spans="1:2" x14ac:dyDescent="0.2">
      <c r="A42" t="s">
        <v>317</v>
      </c>
      <c r="B42" t="s">
        <v>368</v>
      </c>
    </row>
    <row r="43" spans="1:2" x14ac:dyDescent="0.2">
      <c r="A43" t="s">
        <v>318</v>
      </c>
      <c r="B43" t="s">
        <v>368</v>
      </c>
    </row>
    <row r="44" spans="1:2" x14ac:dyDescent="0.2">
      <c r="A44" t="s">
        <v>319</v>
      </c>
      <c r="B44" t="s">
        <v>368</v>
      </c>
    </row>
    <row r="45" spans="1:2" x14ac:dyDescent="0.2">
      <c r="A45" t="s">
        <v>320</v>
      </c>
      <c r="B45" t="s">
        <v>382</v>
      </c>
    </row>
    <row r="46" spans="1:2" x14ac:dyDescent="0.2">
      <c r="A46" t="s">
        <v>321</v>
      </c>
      <c r="B46" t="s">
        <v>382</v>
      </c>
    </row>
    <row r="47" spans="1:2" x14ac:dyDescent="0.2">
      <c r="A47" t="s">
        <v>322</v>
      </c>
      <c r="B47" t="s">
        <v>382</v>
      </c>
    </row>
    <row r="48" spans="1:2" x14ac:dyDescent="0.2">
      <c r="A48" t="s">
        <v>323</v>
      </c>
      <c r="B48" t="s">
        <v>382</v>
      </c>
    </row>
    <row r="49" spans="1:2" x14ac:dyDescent="0.2">
      <c r="A49" t="s">
        <v>324</v>
      </c>
      <c r="B49" t="s">
        <v>186</v>
      </c>
    </row>
    <row r="50" spans="1:2" x14ac:dyDescent="0.2">
      <c r="A50" t="s">
        <v>325</v>
      </c>
      <c r="B50" t="s">
        <v>186</v>
      </c>
    </row>
    <row r="51" spans="1:2" x14ac:dyDescent="0.2">
      <c r="A51" t="s">
        <v>326</v>
      </c>
      <c r="B51" t="s">
        <v>186</v>
      </c>
    </row>
    <row r="52" spans="1:2" x14ac:dyDescent="0.2">
      <c r="A52" t="s">
        <v>327</v>
      </c>
      <c r="B52" t="s">
        <v>186</v>
      </c>
    </row>
    <row r="53" spans="1:2" x14ac:dyDescent="0.2">
      <c r="A53" t="s">
        <v>328</v>
      </c>
      <c r="B53" t="s">
        <v>186</v>
      </c>
    </row>
    <row r="54" spans="1:2" x14ac:dyDescent="0.2">
      <c r="A54" t="s">
        <v>329</v>
      </c>
      <c r="B54" t="s">
        <v>369</v>
      </c>
    </row>
    <row r="55" spans="1:2" x14ac:dyDescent="0.2">
      <c r="A55" t="s">
        <v>330</v>
      </c>
      <c r="B55" t="s">
        <v>369</v>
      </c>
    </row>
    <row r="56" spans="1:2" x14ac:dyDescent="0.2">
      <c r="A56" t="s">
        <v>331</v>
      </c>
      <c r="B56" t="s">
        <v>369</v>
      </c>
    </row>
    <row r="57" spans="1:2" x14ac:dyDescent="0.2">
      <c r="A57" t="s">
        <v>332</v>
      </c>
      <c r="B57" t="s">
        <v>369</v>
      </c>
    </row>
    <row r="58" spans="1:2" x14ac:dyDescent="0.2">
      <c r="A58" t="s">
        <v>333</v>
      </c>
      <c r="B58" t="s">
        <v>209</v>
      </c>
    </row>
    <row r="59" spans="1:2" x14ac:dyDescent="0.2">
      <c r="A59" t="s">
        <v>334</v>
      </c>
      <c r="B59" t="s">
        <v>209</v>
      </c>
    </row>
    <row r="60" spans="1:2" x14ac:dyDescent="0.2">
      <c r="A60" t="s">
        <v>124</v>
      </c>
      <c r="B60" t="s">
        <v>209</v>
      </c>
    </row>
    <row r="61" spans="1:2" x14ac:dyDescent="0.2">
      <c r="A61" t="s">
        <v>335</v>
      </c>
      <c r="B61" t="s">
        <v>209</v>
      </c>
    </row>
    <row r="62" spans="1:2" x14ac:dyDescent="0.2">
      <c r="A62" t="s">
        <v>336</v>
      </c>
      <c r="B62" t="s">
        <v>209</v>
      </c>
    </row>
    <row r="63" spans="1:2" x14ac:dyDescent="0.2">
      <c r="A63" t="s">
        <v>337</v>
      </c>
      <c r="B63" t="s">
        <v>209</v>
      </c>
    </row>
    <row r="64" spans="1:2" x14ac:dyDescent="0.2">
      <c r="A64" t="s">
        <v>338</v>
      </c>
      <c r="B64" t="s">
        <v>209</v>
      </c>
    </row>
    <row r="65" spans="1:2" x14ac:dyDescent="0.2">
      <c r="A65" t="s">
        <v>339</v>
      </c>
      <c r="B65" t="s">
        <v>209</v>
      </c>
    </row>
    <row r="66" spans="1:2" x14ac:dyDescent="0.2">
      <c r="A66" t="s">
        <v>340</v>
      </c>
      <c r="B66" t="s">
        <v>209</v>
      </c>
    </row>
    <row r="67" spans="1:2" x14ac:dyDescent="0.2">
      <c r="A67" t="s">
        <v>341</v>
      </c>
      <c r="B67" t="s">
        <v>209</v>
      </c>
    </row>
    <row r="68" spans="1:2" x14ac:dyDescent="0.2">
      <c r="A68" t="s">
        <v>342</v>
      </c>
      <c r="B68" t="s">
        <v>209</v>
      </c>
    </row>
    <row r="69" spans="1:2" x14ac:dyDescent="0.2">
      <c r="A69" t="s">
        <v>343</v>
      </c>
      <c r="B69" t="s">
        <v>209</v>
      </c>
    </row>
    <row r="70" spans="1:2" x14ac:dyDescent="0.2">
      <c r="A70" t="s">
        <v>344</v>
      </c>
      <c r="B70" t="s">
        <v>370</v>
      </c>
    </row>
    <row r="71" spans="1:2" x14ac:dyDescent="0.2">
      <c r="A71" t="s">
        <v>345</v>
      </c>
      <c r="B71" t="s">
        <v>370</v>
      </c>
    </row>
    <row r="72" spans="1:2" x14ac:dyDescent="0.2">
      <c r="A72" t="s">
        <v>346</v>
      </c>
      <c r="B72" t="s">
        <v>370</v>
      </c>
    </row>
    <row r="73" spans="1:2" x14ac:dyDescent="0.2">
      <c r="A73" t="s">
        <v>347</v>
      </c>
      <c r="B73" t="s">
        <v>370</v>
      </c>
    </row>
    <row r="74" spans="1:2" x14ac:dyDescent="0.2">
      <c r="A74" t="s">
        <v>348</v>
      </c>
      <c r="B74" t="s">
        <v>370</v>
      </c>
    </row>
    <row r="75" spans="1:2" x14ac:dyDescent="0.2">
      <c r="A75" t="s">
        <v>349</v>
      </c>
      <c r="B75" t="s">
        <v>370</v>
      </c>
    </row>
    <row r="76" spans="1:2" x14ac:dyDescent="0.2">
      <c r="A76" t="s">
        <v>350</v>
      </c>
      <c r="B76" t="s">
        <v>370</v>
      </c>
    </row>
    <row r="77" spans="1:2" x14ac:dyDescent="0.2">
      <c r="A77" t="s">
        <v>351</v>
      </c>
      <c r="B77" t="s">
        <v>371</v>
      </c>
    </row>
    <row r="78" spans="1:2" x14ac:dyDescent="0.2">
      <c r="A78" t="s">
        <v>352</v>
      </c>
      <c r="B78" t="s">
        <v>371</v>
      </c>
    </row>
    <row r="79" spans="1:2" x14ac:dyDescent="0.2">
      <c r="A79" t="s">
        <v>353</v>
      </c>
      <c r="B79" t="s">
        <v>371</v>
      </c>
    </row>
    <row r="80" spans="1:2" x14ac:dyDescent="0.2">
      <c r="A80" t="s">
        <v>354</v>
      </c>
      <c r="B80" t="s">
        <v>371</v>
      </c>
    </row>
    <row r="81" spans="1:2" x14ac:dyDescent="0.2">
      <c r="A81" t="s">
        <v>355</v>
      </c>
      <c r="B81" t="s">
        <v>371</v>
      </c>
    </row>
    <row r="82" spans="1:2" x14ac:dyDescent="0.2">
      <c r="A82" t="s">
        <v>356</v>
      </c>
      <c r="B82" t="s">
        <v>371</v>
      </c>
    </row>
    <row r="83" spans="1:2" x14ac:dyDescent="0.2">
      <c r="A83" t="s">
        <v>357</v>
      </c>
      <c r="B83" t="s">
        <v>371</v>
      </c>
    </row>
    <row r="84" spans="1:2" x14ac:dyDescent="0.2">
      <c r="A84" t="s">
        <v>358</v>
      </c>
      <c r="B84" t="s">
        <v>371</v>
      </c>
    </row>
    <row r="85" spans="1:2" x14ac:dyDescent="0.2">
      <c r="A85" t="s">
        <v>359</v>
      </c>
      <c r="B85" t="s">
        <v>157</v>
      </c>
    </row>
    <row r="86" spans="1:2" x14ac:dyDescent="0.2">
      <c r="A86" t="s">
        <v>360</v>
      </c>
      <c r="B86" t="s">
        <v>157</v>
      </c>
    </row>
    <row r="87" spans="1:2" x14ac:dyDescent="0.2">
      <c r="A87" t="s">
        <v>361</v>
      </c>
      <c r="B87" t="s">
        <v>157</v>
      </c>
    </row>
    <row r="88" spans="1:2" x14ac:dyDescent="0.2">
      <c r="A88" t="s">
        <v>362</v>
      </c>
      <c r="B88" t="s">
        <v>157</v>
      </c>
    </row>
    <row r="89" spans="1:2" x14ac:dyDescent="0.2">
      <c r="A89" t="s">
        <v>363</v>
      </c>
      <c r="B89" t="s">
        <v>157</v>
      </c>
    </row>
    <row r="90" spans="1:2" x14ac:dyDescent="0.2">
      <c r="A90" t="s">
        <v>364</v>
      </c>
      <c r="B90" t="s">
        <v>157</v>
      </c>
    </row>
    <row r="91" spans="1:2" x14ac:dyDescent="0.2">
      <c r="A91" t="s">
        <v>365</v>
      </c>
      <c r="B91" t="s">
        <v>157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abb5af-6d15-4804-a0c2-15f56268bde7" xsi:nil="true"/>
    <lcf76f155ced4ddcb4097134ff3c332f xmlns="2d1346b3-625c-4717-92b9-866fc6c7bbb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C5EAFB9CC2A48B1A65EF6EC0C9C67" ma:contentTypeVersion="16" ma:contentTypeDescription="Create a new document." ma:contentTypeScope="" ma:versionID="746b98a23c72aff246cd3c6ec6b4d54a">
  <xsd:schema xmlns:xsd="http://www.w3.org/2001/XMLSchema" xmlns:xs="http://www.w3.org/2001/XMLSchema" xmlns:p="http://schemas.microsoft.com/office/2006/metadata/properties" xmlns:ns2="2d1346b3-625c-4717-92b9-866fc6c7bbb8" xmlns:ns3="1babb5af-6d15-4804-a0c2-15f56268bde7" targetNamespace="http://schemas.microsoft.com/office/2006/metadata/properties" ma:root="true" ma:fieldsID="e382b2a06cd8df5ef7a266fd844389b5" ns2:_="" ns3:_="">
    <xsd:import namespace="2d1346b3-625c-4717-92b9-866fc6c7bbb8"/>
    <xsd:import namespace="1babb5af-6d15-4804-a0c2-15f56268b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46b3-625c-4717-92b9-866fc6c7bb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bb5af-6d15-4804-a0c2-15f56268bd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a5a052-6d0b-4c25-bf37-f61844185a05}" ma:internalName="TaxCatchAll" ma:showField="CatchAllData" ma:web="1babb5af-6d15-4804-a0c2-15f56268b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60F4B53E-61DC-4704-A0DF-DF0B5A0975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6AA864-D857-47DC-A693-5C0F5FBE4C39}">
  <ds:schemaRefs>
    <ds:schemaRef ds:uri="http://schemas.microsoft.com/office/2006/metadata/properties"/>
    <ds:schemaRef ds:uri="http://schemas.microsoft.com/office/infopath/2007/PartnerControls"/>
    <ds:schemaRef ds:uri="1babb5af-6d15-4804-a0c2-15f56268bde7"/>
    <ds:schemaRef ds:uri="2d1346b3-625c-4717-92b9-866fc6c7bbb8"/>
  </ds:schemaRefs>
</ds:datastoreItem>
</file>

<file path=customXml/itemProps3.xml><?xml version="1.0" encoding="utf-8"?>
<ds:datastoreItem xmlns:ds="http://schemas.openxmlformats.org/officeDocument/2006/customXml" ds:itemID="{0DE1EC8D-07C9-4851-8CB0-F6E5C4036F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1346b3-625c-4717-92b9-866fc6c7bbb8"/>
    <ds:schemaRef ds:uri="1babb5af-6d15-4804-a0c2-15f56268bd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047E780-65AE-4280-873E-1182E262F6AA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Examples</vt:lpstr>
      <vt:lpstr>Conventions</vt:lpstr>
      <vt:lpstr>Fields</vt:lpstr>
      <vt:lpstr>Rules</vt:lpstr>
      <vt:lpstr>Abbr</vt:lpstr>
      <vt:lpstr>Options</vt:lpstr>
      <vt:lpstr>Suggestions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Ben</dc:creator>
  <cp:lastModifiedBy>Ben Miller</cp:lastModifiedBy>
  <dcterms:created xsi:type="dcterms:W3CDTF">2015-06-05T18:17:20Z</dcterms:created>
  <dcterms:modified xsi:type="dcterms:W3CDTF">2026-02-13T11:48:33Z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0x0101003F5C5EAFB9CC2A48B1A65EF6EC0C9C67</vt:lpwstr>
  </property>
  <property fmtid="{D5CDD505-2E9C-101B-9397-08002B2CF9AE}" pid="3" name="MSIP_Label_9b1b62f4-cb9b-4766-8dff-64a7ed23e056_Enabled">
    <vt:lpwstr>true</vt:lpwstr>
  </property>
  <property fmtid="{D5CDD505-2E9C-101B-9397-08002B2CF9AE}" pid="4" name="MSIP_Label_9b1b62f4-cb9b-4766-8dff-64a7ed23e056_SetDate">
    <vt:lpwstr>2026-02-10T14:09:33Z</vt:lpwstr>
  </property>
  <property fmtid="{D5CDD505-2E9C-101B-9397-08002B2CF9AE}" pid="5" name="MSIP_Label_9b1b62f4-cb9b-4766-8dff-64a7ed23e056_Method">
    <vt:lpwstr>Standard</vt:lpwstr>
  </property>
  <property fmtid="{D5CDD505-2E9C-101B-9397-08002B2CF9AE}" pid="6" name="MSIP_Label_9b1b62f4-cb9b-4766-8dff-64a7ed23e056_Name">
    <vt:lpwstr>Public</vt:lpwstr>
  </property>
  <property fmtid="{D5CDD505-2E9C-101B-9397-08002B2CF9AE}" pid="7" name="MSIP_Label_9b1b62f4-cb9b-4766-8dff-64a7ed23e056_SiteId">
    <vt:lpwstr>db21de5d-bc9c-420c-8f3f-8f08f85b5ada</vt:lpwstr>
  </property>
  <property fmtid="{D5CDD505-2E9C-101B-9397-08002B2CF9AE}" pid="8" name="MSIP_Label_9b1b62f4-cb9b-4766-8dff-64a7ed23e056_ActionId">
    <vt:lpwstr>5e66d3dd-3384-4f26-89a4-d373c2787d7c</vt:lpwstr>
  </property>
  <property fmtid="{D5CDD505-2E9C-101B-9397-08002B2CF9AE}" pid="9" name="MSIP_Label_9b1b62f4-cb9b-4766-8dff-64a7ed23e056_ContentBits">
    <vt:lpwstr>0</vt:lpwstr>
  </property>
  <property fmtid="{D5CDD505-2E9C-101B-9397-08002B2CF9AE}" pid="10" name="MSIP_Label_9b1b62f4-cb9b-4766-8dff-64a7ed23e056_Tag">
    <vt:lpwstr>10, 3, 0, 1</vt:lpwstr>
  </property>
  <property fmtid="{D5CDD505-2E9C-101B-9397-08002B2CF9AE}" pid="11" name="MediaServiceImageTags">
    <vt:lpwstr/>
  </property>
</Properties>
</file>